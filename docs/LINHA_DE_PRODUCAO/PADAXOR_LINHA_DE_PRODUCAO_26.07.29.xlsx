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INHA DE PRODUCAO" sheetId="1" state="visible" r:id="rId3"/>
    <sheet name="MATRIZ DA EQUIPE" sheetId="2" state="visible" r:id="rId4"/>
    <sheet name="DECISOES DO CEO" sheetId="3" state="visible" r:id="rId5"/>
    <sheet name="LEIA-ME" sheetId="4" state="visible" r:id="rId6"/>
    <sheet name="REGRAS DE EDICAO" sheetId="5" state="visible" r:id="rId7"/>
    <sheet name="HISTORICO" sheetId="6" state="visible" r:id="rId8"/>
    <sheet name="GLOSSARIO" sheetId="7" state="visible" r:id="rId9"/>
  </sheets>
  <definedNames>
    <definedName function="false" hidden="true" localSheetId="6" name="_xlnm._FilterDatabase" vbProcedure="false">GLOSSARIO!$A$4:$E$38</definedName>
    <definedName function="false" hidden="true" localSheetId="5" name="_xlnm._FilterDatabase" vbProcedure="false">HISTORICO!$A$4:$H$17</definedName>
    <definedName function="false" hidden="true" localSheetId="0" name="_xlnm._FilterDatabase" vbProcedure="false">'LINHA DE PRODUCAO'!$A$4:$J$42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<sst xmlns="http://schemas.openxmlformats.org/spreadsheetml/2006/main" count="789" uniqueCount="557">
  <si>
    <t xml:space="preserve">PADAXOR — Linha de Producao</t>
  </si>
  <si>
    <t xml:space="preserve">Fila unica de trabalho. Ordenada por prioridade, nao por ordem de pedido. Estado e Prioridade tem lista suspensa. Edite apenas as colunas Estado e Observacao.</t>
  </si>
  <si>
    <t xml:space="preserve">Nº</t>
  </si>
  <si>
    <t xml:space="preserve">Item</t>
  </si>
  <si>
    <t xml:space="preserve">O que e / como sera feito</t>
  </si>
  <si>
    <t xml:space="preserve">Responsavel</t>
  </si>
  <si>
    <t xml:space="preserve">Depende de</t>
  </si>
  <si>
    <t xml:space="preserve">Estado</t>
  </si>
  <si>
    <t xml:space="preserve">Prioridade</t>
  </si>
  <si>
    <t xml:space="preserve">Esforco</t>
  </si>
  <si>
    <t xml:space="preserve">Observacao</t>
  </si>
  <si>
    <t xml:space="preserve">Em linguagem de leigo</t>
  </si>
  <si>
    <t xml:space="preserve">Banco em producao com dados reais</t>
  </si>
  <si>
    <t xml:space="preserve">Carga do dump do Replit no Postgres do Railway. 3.683 clientes e 24.287 resultados de exame.</t>
  </si>
  <si>
    <t xml:space="preserve">Dr. Replit</t>
  </si>
  <si>
    <t xml:space="preserve">—</t>
  </si>
  <si>
    <t xml:space="preserve">CONCLUIDO</t>
  </si>
  <si>
    <t xml:space="preserve">P0 critico</t>
  </si>
  <si>
    <t xml:space="preserve">feito</t>
  </si>
  <si>
    <t xml:space="preserve">Volumetria conferida por contagem no banco de producao.</t>
  </si>
  <si>
    <t xml:space="preserve">Os dados reais dos seus clientes sairam do computador antigo e entraram no novo. Como mudar o arquivo de papel de uma clinica para outra sala: 3.683 fichas e 24.287 exames, todos conferidos um a um na chegada.</t>
  </si>
  <si>
    <t xml:space="preserve">Backup do Postgres</t>
  </si>
  <si>
    <t xml:space="preserve">Agendamentos diario, semanal e mensal, mais uma copia manual protegida.</t>
  </si>
  <si>
    <t xml:space="preserve">Dr. Caio</t>
  </si>
  <si>
    <t xml:space="preserve">Salvou a carga quando o primeiro TRUNCATE ficou confirmado no meio.</t>
  </si>
  <si>
    <t xml:space="preserve">Copia de seguranca automatica do banco, todo dia, toda semana, todo mes. E o seguro contra incendio: voce paga sem usar, e no dia do incendio ele e a unica coisa que importa. Ja salvou uma carga que travou no meio.</t>
  </si>
  <si>
    <t xml:space="preserve">api-server no ar com dominio e CORS</t>
  </si>
  <si>
    <t xml:space="preserve">Servico publicado no Railway, dominio gerado, ALLOWED_ORIGINS corrigido.</t>
  </si>
  <si>
    <t xml:space="preserve">Dr. Code</t>
  </si>
  <si>
    <t xml:space="preserve">ALLOWED_ORIGINS estava com valor invalido ['https://','https://'].</t>
  </si>
  <si>
    <t xml:space="preserve">O servidor que atende os pedidos do sistema esta no ar, com endereco proprio na internet e a lista de quem pode chamar ele configurada corretamente.</t>
  </si>
  <si>
    <t xml:space="preserve">Login do CEO funcionando</t>
  </si>
  <si>
    <t xml:space="preserve">Credencial gravada com o algoritmo correto (collaborator-auth) e verificada em producao.</t>
  </si>
  <si>
    <t xml:space="preserve">3</t>
  </si>
  <si>
    <t xml:space="preserve">Causa da falha: dois verifyPassword com formato identico e derivacao incompativel.</t>
  </si>
  <si>
    <t xml:space="preserve">Sua senha de entrada no sistema foi gravada no formato certo e testada em producao. Antes disso ela existia mas o sistema nao a reconhecia.</t>
  </si>
  <si>
    <t xml:space="preserve">Token de colaborador vale no perimetro</t>
  </si>
  <si>
    <t xml:space="preserve">basicAuth aceita Bearer valido. Bearer invalido devolve 401 JSON, sem caixa nativa.</t>
  </si>
  <si>
    <t xml:space="preserve">4</t>
  </si>
  <si>
    <t xml:space="preserve">PR #5. Senha unica compartilhada nao escala para licenciados.</t>
  </si>
  <si>
    <t xml:space="preserve">O cracha do colaborador passou a ser aceito nas portas internas. Antes o cracha existia mas o porteiro nao olhava para ele.</t>
  </si>
  <si>
    <t xml:space="preserve">Site publicado com as 6 correcoes</t>
  </si>
  <si>
    <t xml:space="preserve">VITE_API_BASE_URL, APP_URL, marca, formulario espelhado, redirect fantasma, cadastro publico.</t>
  </si>
  <si>
    <t xml:space="preserve">Dr. Lovable</t>
  </si>
  <si>
    <t xml:space="preserve">P1 alto</t>
  </si>
  <si>
    <t xml:space="preserve">Cadastro publico e OAuth removidos: elimina conta acidental e email marcado como golpe.</t>
  </si>
  <si>
    <t xml:space="preserve">O site publico foi corrigido em seis pontos, entre eles tirar o cadastro aberto, que deixava qualquer um criar conta sozinho.</t>
  </si>
  <si>
    <t xml:space="preserve">Captacao de interessados</t>
  </si>
  <si>
    <t xml:space="preserve">POST /api/vitrine-leads e /api/vitrine-contatos, com painel no sistema.</t>
  </si>
  <si>
    <t xml:space="preserve">11 testes aprovados contra producao.</t>
  </si>
  <si>
    <t xml:space="preserve">Quando alguem se interessa pelo produto no site, o nome e o contato agora caem numa lista dentro do sistema, em vez de se perderem.</t>
  </si>
  <si>
    <t xml:space="preserve">empresa_id na tabela professionals</t>
  </si>
  <si>
    <t xml:space="preserve">Coluna de vinculo da clinica em professionals. Hoje colaborador nao pertence a clinica alguma.</t>
  </si>
  <si>
    <t xml:space="preserve">A FAZER</t>
  </si>
  <si>
    <t xml:space="preserve">2h</t>
  </si>
  <si>
    <t xml:space="preserve">Primeira coisa que quebra ao licenciar a segunda clinica.</t>
  </si>
  <si>
    <t xml:space="preserve">Hoje um colaborador nao esta amarrado a nenhuma clinica: ele so existe solto. Isso e uma coluna nova no banco dizendo 'este colaborador pertence a esta clinica'. E o CPF do vinculo. Sem ela, ao vender para a segunda clinica, ninguem sabe quem e de quem.</t>
  </si>
  <si>
    <t xml:space="preserve">Isolamento entre clinicas no banco (RLS)</t>
  </si>
  <si>
    <t xml:space="preserve">Politicas de Row-Level Security nas tabelas clinicas. Hoje o isolamento e convencao no codigo.</t>
  </si>
  <si>
    <t xml:space="preserve">8</t>
  </si>
  <si>
    <t xml:space="preserve">1 dia</t>
  </si>
  <si>
    <t xml:space="preserve">Uma clausula WHERE esquecida = uma clinica vendo paciente de outra. Zero politicas hoje.</t>
  </si>
  <si>
    <t xml:space="preserve">Trava no proprio banco de dados que impede uma clinica de ver paciente de outra, mesmo que o programador esqueca de filtrar. Hoje a separacao depende do programador lembrar toda vez; isso troca a memoria humana por uma tranca de verdade. Hoje ha zero trancas.</t>
  </si>
  <si>
    <t xml:space="preserve">Marca distinta nos dois esquemas de senha</t>
  </si>
  <si>
    <t xml:space="preserve">scrypt-col$ e scrypt-pac$, com recusa ruidosa do prefixo errado.</t>
  </si>
  <si>
    <t xml:space="preserve">3h</t>
  </si>
  <si>
    <t xml:space="preserve">Os dois gravam scrypt$ hoje. Foi a armadilha que custou uma noite inteira.</t>
  </si>
  <si>
    <t xml:space="preserve">Existem dois tipos de senha no sistema, guardados de jeitos diferentes, mas gravados com a MESMA etiqueta. E como dois frascos de remedio com o mesmo rotulo e conteudo diferente. Foi isso que fez seu login falhar por uma noite inteira. Isso poe rotulo diferente em cada frasco.</t>
  </si>
  <si>
    <t xml:space="preserve">Tela de login dentro do padaxor</t>
  </si>
  <si>
    <t xml:space="preserve">Tela propria chamando /api/collaborator/login e setCollabSession. O encanamento ja existe em collab-auth.ts.</t>
  </si>
  <si>
    <t xml:space="preserve">5</t>
  </si>
  <si>
    <t xml:space="preserve">Entregue 30/07 no commit 3a38349, conferido: pages/login/index.tsx criado e CollaboratorGate passou a redirecionar.</t>
  </si>
  <si>
    <t xml:space="preserve">Tela de entrada propria do sistema, em vez da caixinha cinza do navegador. Ja entregue em 30/07.</t>
  </si>
  <si>
    <t xml:space="preserve">Site vira botao, nao segundo login</t>
  </si>
  <si>
    <t xml:space="preserve">O login do site aponta para a tela do sistema em vez de autenticar por conta propria.</t>
  </si>
  <si>
    <t xml:space="preserve">11</t>
  </si>
  <si>
    <t xml:space="preserve">1h</t>
  </si>
  <si>
    <t xml:space="preserve">LIBERADO em 30/07: a tela do item 11 existe. Elimina o segundo formulario de autenticacao.</t>
  </si>
  <si>
    <t xml:space="preserve">O botao Entrar do site deixa de pedir senha por conta propria e passa a levar a pessoa para a tela de entrada do sistema. Uma porta so em vez de duas.</t>
  </si>
  <si>
    <t xml:space="preserve">DNS do padaxor.com.br no Cloudflare</t>
  </si>
  <si>
    <t xml:space="preserve">Trocar os servidores de nome no Registro.br pelos do Cloudflare.</t>
  </si>
  <si>
    <t xml:space="preserve">15min</t>
  </si>
  <si>
    <t xml:space="preserve">Railway exige CNAME Flattening ou ALIAS para dominio raiz. Registro.br nao faz.</t>
  </si>
  <si>
    <t xml:space="preserve">Trocar quem cuida do endereco padaxor.com.br na internet. O registrador brasileiro nao faz um recurso que o servidor precisa; o Cloudflare faz, e e de graca.</t>
  </si>
  <si>
    <t xml:space="preserve">Dominio proprio apontando para o sistema</t>
  </si>
  <si>
    <t xml:space="preserve">app.padaxor.com.br no Railway com certificado automatico.</t>
  </si>
  <si>
    <t xml:space="preserve">13</t>
  </si>
  <si>
    <t xml:space="preserve">AGUARDANDO</t>
  </si>
  <si>
    <t xml:space="preserve">Depende do passo do Cloudflare.</t>
  </si>
  <si>
    <t xml:space="preserve">Fazer app.padaxor.com.br apontar para o sistema, com cadeado de seguranca automatico no navegador.</t>
  </si>
  <si>
    <t xml:space="preserve">Marca PAXTER para PADAXOR no painel</t>
  </si>
  <si>
    <t xml:space="preserve">O painel do sistema ainda exibe PAXTER na identidade visual.</t>
  </si>
  <si>
    <t xml:space="preserve">parcial</t>
  </si>
  <si>
    <t xml:space="preserve">Titulo da aba e do aplicativo entregues 30/07 no commit 3a38349. As telas internas seguem no item 38.</t>
  </si>
  <si>
    <t xml:space="preserve">O painel ainda mostrava o nome antigo PAXTER. Titulo da aba corrigido em 30/07; o resto das telas segue no item 38.</t>
  </si>
  <si>
    <t xml:space="preserve">Porta da area do paciente</t>
  </si>
  <si>
    <t xml:space="preserve">O site nao tem entrada para /api/area-paciente, que tem 12 rotas prontas no servidor.</t>
  </si>
  <si>
    <t xml:space="preserve">4h</t>
  </si>
  <si>
    <t xml:space="preserve">Quarta porta do produto inteira sem macaneta.</t>
  </si>
  <si>
    <t xml:space="preserve">O servidor ja tem doze portas prontas para a area do paciente, mas o site nao tem nenhum botao que leve ate elas. E uma porta inteira construida e sem macaneta.</t>
  </si>
  <si>
    <t xml:space="preserve">Indice unico em lower(login_username)</t>
  </si>
  <si>
    <t xml:space="preserve">Impede dois colaboradores com o mesmo usuario. Erro 23505 traduzido em 409.</t>
  </si>
  <si>
    <t xml:space="preserve">Prevencao. Nao foi a causa do bug de hoje — nao havia duplicata.</t>
  </si>
  <si>
    <t xml:space="preserve">Impedir que dois colaboradores tenham o mesmo nome de usuario. Prevencao: nao foi a causa do problema de hoje, mas seria a causa do de amanha.</t>
  </si>
  <si>
    <t xml:space="preserve">Ligar o registro de consumo</t>
  </si>
  <si>
    <t xml:space="preserve">Comecar a gravar em consumo_eventos, que ja existe com empresa_id, custo e idempotencia.</t>
  </si>
  <si>
    <t xml:space="preserve">9</t>
  </si>
  <si>
    <t xml:space="preserve">P2 medio</t>
  </si>
  <si>
    <t xml:space="preserve">Sem historico nao ha painel. Historico nao se cria retroativamente. Espera o RLS do Dr. Code.</t>
  </si>
  <si>
    <t xml:space="preserve">Comecar a anotar quanto cada clinica usa do sistema. Sem anotar desde ja, nao existe historico depois: historico nao se cria para tras.</t>
  </si>
  <si>
    <t xml:space="preserve">Catalogo de modulos com precos</t>
  </si>
  <si>
    <t xml:space="preserve">Tabela de modulos: nome, beneficio, valor de adesao, valor promocional, mensalidade.</t>
  </si>
  <si>
    <t xml:space="preserve">decisao</t>
  </si>
  <si>
    <t xml:space="preserve">Os valores sao decisao do CEO. Nada vai para tela sem eles.</t>
  </si>
  <si>
    <t xml:space="preserve">Definir quanto custa cada modulo em reais. So voce decide. Nenhum preco vai para tela sem isso.</t>
  </si>
  <si>
    <t xml:space="preserve">Menu com modulos travados</t>
  </si>
  <si>
    <t xml:space="preserve">Itens nao comprados aparecem apagados com cadeado. Clique abre a mensagem de desejo.</t>
  </si>
  <si>
    <t xml:space="preserve">19</t>
  </si>
  <si>
    <t xml:space="preserve">Coracao do modelo comercial. Depende do catalogo e dos precos.</t>
  </si>
  <si>
    <t xml:space="preserve">Os modulos que a clinica nao comprou aparecem apagados com um cadeado, e clicar abre a oferta. E a vitrine da loja: voce ve o que nao comprou, e isso e o que faz querer comprar.</t>
  </si>
  <si>
    <t xml:space="preserve">Mensagem de desejo com 48h e indicacao</t>
  </si>
  <si>
    <t xml:space="preserve">Descricao do beneficio, preco promocional valido 48h, valor cheio riscado, 10% por indicacao na adesao.</t>
  </si>
  <si>
    <t xml:space="preserve">20</t>
  </si>
  <si>
    <t xml:space="preserve">Mensalidade nunca muda — desconto so na entrada.</t>
  </si>
  <si>
    <t xml:space="preserve">A mensagem que aparece ao clicar no cadeado: o que o modulo faz, o preco promocional valendo 48 horas, o valor cheio riscado e o desconto por indicacao.</t>
  </si>
  <si>
    <t xml:space="preserve">Login de licenciado (o segundo chapeu)</t>
  </si>
  <si>
    <t xml:space="preserve">Segundo usuario do CEO, entrando na mesma clinica com a visao travada do cliente.</t>
  </si>
  <si>
    <t xml:space="preserve">Dois logins, mesma clinica, lentes diferentes. Pagamento real de R$ 1 via Asaas.</t>
  </si>
  <si>
    <t xml:space="preserve">Um segundo usuario seu, entrando na mesma clinica, mas enxergando so o que um cliente enxergaria. Dois cracha, mesma porta, oculos diferentes.</t>
  </si>
  <si>
    <t xml:space="preserve">Painel do CEO com seletor de clinica</t>
  </si>
  <si>
    <t xml:space="preserve">Visao consolidada de todas as clinicas e troca de contexto para ver como o dono ve.</t>
  </si>
  <si>
    <t xml:space="preserve">tenantContext ja modela isPlatformOwner + empresaId. Comecar somente-leitura nas outras clinicas.</t>
  </si>
  <si>
    <t xml:space="preserve">Painel onde voce ve todas as clinicas de uma vez e consegue entrar na visao de cada dona para ver o que ela ve.</t>
  </si>
  <si>
    <t xml:space="preserve">Painel de bilhetagem</t>
  </si>
  <si>
    <t xml:space="preserve">Consumo por clinica, por periodo, por tipo. Atualizacao por LISTEN/NOTIFY do Postgres.</t>
  </si>
  <si>
    <t xml:space="preserve">18</t>
  </si>
  <si>
    <t xml:space="preserve">2 dias</t>
  </si>
  <si>
    <t xml:space="preserve">Sem fornecedor novo. Com 12 clinicas o Postgres aguenta com folga.</t>
  </si>
  <si>
    <t xml:space="preserve">Painel de quanto cada clinica consumiu, por periodo e por tipo, atualizando sozinho na tela.</t>
  </si>
  <si>
    <t xml:space="preserve">Upsell por limiar de uso</t>
  </si>
  <si>
    <t xml:space="preserve">Regra por modulo: metrica, limiar, mensagem, desconto. Dispara apos cada evento de consumo.</t>
  </si>
  <si>
    <t xml:space="preserve">24</t>
  </si>
  <si>
    <t xml:space="preserve">Oferece quando o uso prova que faz sentido. Observacao honesta, nao pressao.</t>
  </si>
  <si>
    <t xml:space="preserve">Quando o uso de um modulo passa de um limite, o sistema oferece o upgrade sozinho. Oferece quando o proprio uso ja provou que faz sentido, nao antes.</t>
  </si>
  <si>
    <t xml:space="preserve">Zoho configurado</t>
  </si>
  <si>
    <t xml:space="preserve">ZOHO_ORG_ID e token de admin nas variaveis. Codigo de criacao de conta e alias ja existe.</t>
  </si>
  <si>
    <t xml:space="preserve">30min</t>
  </si>
  <si>
    <t xml:space="preserve">Precisa da conta Zoho e do token. Depois disso o sistema cria sozinho.</t>
  </si>
  <si>
    <t xml:space="preserve">Configurar a conta de e-mail corporativo. Depois disso o sistema cria os e-mails de cada clinica nova sozinho.</t>
  </si>
  <si>
    <t xml:space="preserve">DNS automatico via Cloudflare API</t>
  </si>
  <si>
    <t xml:space="preserve">Ao ativar uma clinica, o sistema cria os registros de DNS sem ninguem tocar no painel.</t>
  </si>
  <si>
    <t xml:space="preserve">Depende do Cloudflare ser o provedor de DNS.</t>
  </si>
  <si>
    <t xml:space="preserve">Quando uma clinica nova e ativada, o endereco de internet dela e criado sozinho, sem ninguem abrir painel nenhum.</t>
  </si>
  <si>
    <t xml:space="preserve">Tela de linha de producao de clinica</t>
  </si>
  <si>
    <t xml:space="preserve">Nome da clinica, sugestao e checagem de dominio, registro, DNS, emails, brief do site.</t>
  </si>
  <si>
    <t xml:space="preserve">26,27</t>
  </si>
  <si>
    <t xml:space="preserve">1 semana</t>
  </si>
  <si>
    <t xml:space="preserve">COBRAR ANTES DE PROVISIONAR: pendurar no webhook do Asaas, nao antes dele.</t>
  </si>
  <si>
    <t xml:space="preserve">A esteira que transforma um contrato assinado em clinica funcionando: nome, endereco, e-mails, site. Regra importante: cobrar antes de montar, nunca depois.</t>
  </si>
  <si>
    <t xml:space="preserve">Autenticacao de email em dominio proprio</t>
  </si>
  <si>
    <t xml:space="preserve">SPF e DKIM para padaxor.com.br. Hoje o remetente e da ferramenta e o Gmail marca como golpe.</t>
  </si>
  <si>
    <t xml:space="preserve">Convite de licenciado chegando com tarja vermelha de phishing destroi confianca. Espera o Cloudflare.</t>
  </si>
  <si>
    <t xml:space="preserve">Assinatura digital do seu dominio no e-mail. Sem ela o Gmail marca seu convite como golpe, com tarja vermelha. Convite de socio chegando como phishing destroi a confianca antes da primeira conversa.</t>
  </si>
  <si>
    <t xml:space="preserve">railway.toml versionado</t>
  </si>
  <si>
    <t xml:space="preserve">Declarar servicos, comandos e caminhos no repositorio.</t>
  </si>
  <si>
    <t xml:space="preserve">Dr. Manus</t>
  </si>
  <si>
    <t xml:space="preserve">P3 baixo</t>
  </si>
  <si>
    <t xml:space="preserve">Passou para o Dr. Manus em 30/07: missao de escopo fechado, ponta a ponta, sem dependencia. Libera o Dr. Code para os tres itens P0.</t>
  </si>
  <si>
    <t xml:space="preserve">Escrever no proprio codigo como o sistema e montado. Hoje isso so existe dentro do painel de um fornecedor: se a conta sumir, o codigo sozinho nao remonta o sistema. Passou para o Dr. Manus, que faz missao inteira sozinho.</t>
  </si>
  <si>
    <t xml:space="preserve">Colapsar o Supabase</t>
  </si>
  <si>
    <t xml:space="preserve">Formulario da homepage passa a gravar so no Railway. Painel de leads migra para o sistema.</t>
  </si>
  <si>
    <t xml:space="preserve">7</t>
  </si>
  <si>
    <t xml:space="preserve">Hoje ha espelho. Espelho e transicao, nao destino. Liberado: o item 7 ficou concluido.</t>
  </si>
  <si>
    <t xml:space="preserve">Hoje o formulario do site grava em dois lugares ao mesmo tempo. Isso desliga o lugar antigo e deixa so um. Espelho e etapa de mudanca, nao destino.</t>
  </si>
  <si>
    <t xml:space="preserve">Suite de testes e integracao continua</t>
  </si>
  <si>
    <t xml:space="preserve">Vitest mais Postgres de teste, rodando antes do deploy.</t>
  </si>
  <si>
    <t xml:space="preserve">3 dias</t>
  </si>
  <si>
    <t xml:space="preserve">Hoje: nenhum CI, nenhum script de teste no api-server, 1 arquivo de teste no repo inteiro.</t>
  </si>
  <si>
    <t xml:space="preserve">Testes automaticos que rodam sozinhos antes de publicar e barram o erro antes de ele chegar no ar. Hoje nao existe nenhum: por isso os erros das ultimas horas so apareceram em producao.</t>
  </si>
  <si>
    <t xml:space="preserve">Renomear padcom para padaxor internamente</t>
  </si>
  <si>
    <t xml:space="preserve">Pasta, nome de pacote e referencias. 414 arquivos citam padcom.</t>
  </si>
  <si>
    <t xml:space="preserve">30</t>
  </si>
  <si>
    <t xml:space="preserve">So com todos parados. O caminho de build vive no painel do Railway, fora do repo.</t>
  </si>
  <si>
    <t xml:space="preserve">Trocar o nome interno antigo por PADAXOR em 414 arquivos. So da para fazer com todos os agentes parados, senao um atropela o outro.</t>
  </si>
  <si>
    <t xml:space="preserve">Planos de paciente</t>
  </si>
  <si>
    <t xml:space="preserve">Niveis de acompanhamento e o que cada um da. O termo 'rodio' nao existe no codigo.</t>
  </si>
  <si>
    <t xml:space="preserve">Prazo de resposta vira obrigacao contratual. Precisa desenho, nao improviso.</t>
  </si>
  <si>
    <t xml:space="preserve">Definir os niveis de acompanhamento do paciente e o que cada nivel entrega. Cuidado: prazo de resposta prometido vira obrigacao de contrato.</t>
  </si>
  <si>
    <t xml:space="preserve">Identificador de requisicao e contrato da API</t>
  </si>
  <si>
    <t xml:space="preserve">X-Request-Id em toda chamada, mais openapi.yaml versionado.</t>
  </si>
  <si>
    <t xml:space="preserve">Ideia veio do Dr. Lovable; quem executa e o Dr. Code (e servidor). Acaba com reclamacao sem rastro.</t>
  </si>
  <si>
    <t xml:space="preserve">Dar um numero de protocolo a cada chamada do sistema. Igual ao numero de atendimento do banco: quando alguem reclama, existe o numero para achar o que aconteceu.</t>
  </si>
  <si>
    <t xml:space="preserve">Missao a definir para o Dr. Manus</t>
  </si>
  <si>
    <t xml:space="preserve">Vaga usada em 30/07: o Dr. Manus assumiu o item 30. Esta linha fica como registro, nao se apaga.</t>
  </si>
  <si>
    <t xml:space="preserve">Fechada em 30/07 com a entrada dele no item 30. Proxima missao entra como numero novo, nunca reaproveitando este.</t>
  </si>
  <si>
    <t xml:space="preserve">Era a vaga aberta do Dr. Manus. Ele entrou em 30/07 e pegou o item 30, entao a vaga fechou. A linha fica como registro: nada se apaga.</t>
  </si>
  <si>
    <t xml:space="preserve">Auditoria de rotas: consulta sem filtro de empresa</t>
  </si>
  <si>
    <t xml:space="preserve">Varredura de todas as rotas da API listando consulta que le tabela clinica sem restringir por empresa. Entrega e a lista, nao a correcao.</t>
  </si>
  <si>
    <t xml:space="preserve">Ideia do Dr. Replit, territorio dele (rotas de API) e nao toca o banco. A lista e a entrada do item 9: sem ela o RLS e escrito as cegas.</t>
  </si>
  <si>
    <t xml:space="preserve">Varrer todas as portas do sistema procurando as que leem dados sem perguntar de qual clinica. A entrega e a LISTA dos buracos, nao o conserto. E o exame antes da cirurgia: sem a lista, o item 9 seria operado as cegas.</t>
  </si>
  <si>
    <t xml:space="preserve">Marca PAXTER para PADAXOR nas telas internas</t>
  </si>
  <si>
    <t xml:space="preserve">Restante do rebrand: textos dentro do painel, nao so o titulo da aba entregue no item 15.</t>
  </si>
  <si>
    <t xml:space="preserve">O nome oficial PADAXOR ja esta decidido pelo CEO. O Dr. Replit havia marcado como decisao pendente; nao e, o nome ja foi batido.</t>
  </si>
  <si>
    <t xml:space="preserve">O resto da troca de nome PAXTER para PADAXOR, agora dentro das telas. O titulo da aba ja foi feito no item 15.</t>
  </si>
  <si>
    <t xml:space="preserve">RESUMO</t>
  </si>
  <si>
    <t xml:space="preserve">Concluido</t>
  </si>
  <si>
    <t xml:space="preserve">A fazer</t>
  </si>
  <si>
    <t xml:space="preserve">Aguardando dependencia</t>
  </si>
  <si>
    <t xml:space="preserve">Total de itens</t>
  </si>
  <si>
    <t xml:space="preserve">Matriz da equipe — territorio e fronteira</t>
  </si>
  <si>
    <t xml:space="preserve">Tres vezes dois agentes consertaram o mesmo arquivo e o resultado quebrou. Esta matriz existe para isso nao repetir.</t>
  </si>
  <si>
    <t xml:space="preserve">Membro</t>
  </si>
  <si>
    <t xml:space="preserve">Onde vive</t>
  </si>
  <si>
    <t xml:space="preserve">Territorio (decide sozinho)</t>
  </si>
  <si>
    <t xml:space="preserve">Nao toca sem avisar</t>
  </si>
  <si>
    <t xml:space="preserve">Nesta fase</t>
  </si>
  <si>
    <t xml:space="preserve">cacique</t>
  </si>
  <si>
    <t xml:space="preserve">Precos, planos, decisao clinica, gasto de dinheiro, dado de paciente real</t>
  </si>
  <si>
    <t xml:space="preserve">Nada — decide tudo</t>
  </si>
  <si>
    <t xml:space="preserve">Cloudflare (13), precos dos modulos (19), Zoho (26), planos de paciente (34)</t>
  </si>
  <si>
    <t xml:space="preserve">Claude Code</t>
  </si>
  <si>
    <t xml:space="preserve">api-server, banco, Railway, autenticacao, infraestrutura, coordenacao</t>
  </si>
  <si>
    <t xml:space="preserve">Telas do sistema (Dr. Replit) e o site (Dr. Lovable)</t>
  </si>
  <si>
    <t xml:space="preserve">empresa_id (8), RLS (9), marca dos esquemas de senha (10), dominio (14), SPF/DKIM (29)</t>
  </si>
  <si>
    <t xml:space="preserve">Dr. Replit Manager</t>
  </si>
  <si>
    <t xml:space="preserve">Replit</t>
  </si>
  <si>
    <t xml:space="preserve">Telas do sistema, logica de negocio, linha de producao de clinica</t>
  </si>
  <si>
    <t xml:space="preserve">basicAuth, middleware de auth, variaveis do Railway, banco de producao</t>
  </si>
  <si>
    <t xml:space="preserve">Login no sistema (11), marca no painel (15), consumo (18), menu travado (20)</t>
  </si>
  <si>
    <t xml:space="preserve">Lovable</t>
  </si>
  <si>
    <t xml:space="preserve">Site institucional, vitrines, portoes de captacao</t>
  </si>
  <si>
    <t xml:space="preserve">api-server e banco — so consome, nunca altera</t>
  </si>
  <si>
    <t xml:space="preserve">Site vira botao (12), porta do paciente (16), colapsar Supabase (31)</t>
  </si>
  <si>
    <t xml:space="preserve">Manus AI</t>
  </si>
  <si>
    <t xml:space="preserve">Missoes inteiras de ponta a ponta, com escopo fechado</t>
  </si>
  <si>
    <t xml:space="preserve">Producao sem combinar antes</t>
  </si>
  <si>
    <t xml:space="preserve">railway.toml versionado (30). Proximo candidato: X-Request-Id e contrato da API (35)</t>
  </si>
  <si>
    <t xml:space="preserve">REGRA DE CONVIVENCIA</t>
  </si>
  <si>
    <t xml:space="preserve">1. Ninguem anuncia pronto antes de a mudanca estar na main. Construido no ambiente local e rascunho; publicado e entrega.</t>
  </si>
  <si>
    <t xml:space="preserve">2. Antes de editar arquivo fora do proprio territorio, avisa. Foi assim que o drizzle.config, o bypass do login e o basicAuth colidiram.</t>
  </si>
  <si>
    <t xml:space="preserve">3. Quem escreve na main da pull antes. Sincronizar por cima desfaz correcao que esta funcionando em producao.</t>
  </si>
  <si>
    <t xml:space="preserve">4. Verificar na fonte antes de afirmar — e verificar de onde vem o que se esta usando para verificar.</t>
  </si>
  <si>
    <t xml:space="preserve">5. Cobrar antes de provisionar. A linha de producao pendura no pagamento confirmado, nunca antes.</t>
  </si>
  <si>
    <t xml:space="preserve">Decisoes que so o CEO toma</t>
  </si>
  <si>
    <t xml:space="preserve">Cada linha aqui esta travando trabalho. Escreva na coluna 'Sua resposta' — as celulas em amarelo sao suas.</t>
  </si>
  <si>
    <t xml:space="preserve">Decisao</t>
  </si>
  <si>
    <t xml:space="preserve">Por que so voce decide</t>
  </si>
  <si>
    <t xml:space="preserve">Trava o item</t>
  </si>
  <si>
    <t xml:space="preserve">Sua resposta</t>
  </si>
  <si>
    <t xml:space="preserve">Cobrar antes de provisionar a clinica?</t>
  </si>
  <si>
    <t xml:space="preserve">Hoje o desenho gasta dominio, email e trabalho antes de receber. Se o medico desistir, o prejuizo e seu.</t>
  </si>
  <si>
    <t xml:space="preserve">28</t>
  </si>
  <si>
    <t xml:space="preserve">Valores em reais dos modulos</t>
  </si>
  <si>
    <t xml:space="preserve">Nenhum preco vai para tela sem sua decisao. Os que existem hoje sao provisorios.</t>
  </si>
  <si>
    <t xml:space="preserve">19,20,21</t>
  </si>
  <si>
    <t xml:space="preserve">O cadeado esconde a tela ou os dados?</t>
  </si>
  <si>
    <t xml:space="preserve">Se voce usa um modulo como CEO e depois entra como licenciado, os dados ficam visiveis ou desaparecem?</t>
  </si>
  <si>
    <t xml:space="preserve">Qual vitrine fica</t>
  </si>
  <si>
    <t xml:space="preserve">Existem duas construidas em paralelo: uma no site, uma no sistema. Mesma funcao, autores diferentes.</t>
  </si>
  <si>
    <t xml:space="preserve">Onde o licenciado trabalha</t>
  </si>
  <si>
    <t xml:space="preserve">Assumi que e o painel do sistema. Nunca foi confirmado. Se for outro lugar, muda o desenho inteiro.</t>
  </si>
  <si>
    <t xml:space="preserve">11,20</t>
  </si>
  <si>
    <t xml:space="preserve">O que vem na assinatura basica</t>
  </si>
  <si>
    <t xml:space="preserve">Define quantos modulos existem para vender. Agenda e pacientes? Protocolos tambem?</t>
  </si>
  <si>
    <t xml:space="preserve">19,20</t>
  </si>
  <si>
    <t xml:space="preserve">Quem indica ganha algo?</t>
  </si>
  <si>
    <t xml:space="preserve">Sei que o indicado ganha 10% na adesao. Se o indicador tambem ganhar, e programa de afiliados.</t>
  </si>
  <si>
    <t xml:space="preserve">21</t>
  </si>
  <si>
    <t xml:space="preserve">Quem cria a conta do licenciado</t>
  </si>
  <si>
    <t xml:space="preserve">Ele se cadastra depois de pagar, ou voce cria e ele recebe? Hoje nao existe auto-cadastro.</t>
  </si>
  <si>
    <t xml:space="preserve">22,28</t>
  </si>
  <si>
    <t xml:space="preserve">Registrador dos dominios de clinica</t>
  </si>
  <si>
    <t xml:space="preserve">Registro.br exige ser registrador credenciado — nao da para automatizar .com.br. Namecheap ou GoDaddy para .com?</t>
  </si>
  <si>
    <t xml:space="preserve">Dominio da clinica fica no nome de quem?</t>
  </si>
  <si>
    <t xml:space="preserve">Se registrar no nome da Pawards, voce controla — e vira retencao. Precisa estar no contrato, explicito.</t>
  </si>
  <si>
    <t xml:space="preserve">Exemplo de preenchimento (apague ao usar)</t>
  </si>
  <si>
    <t xml:space="preserve">ex</t>
  </si>
  <si>
    <t xml:space="preserve">Cobrar antes de provisionar?</t>
  </si>
  <si>
    <t xml:space="preserve">Sim. Pendura no webhook do Asaas.</t>
  </si>
  <si>
    <t xml:space="preserve">Como usar esta planilha</t>
  </si>
  <si>
    <t xml:space="preserve">Escrita em 29/07/2026 pelo Dr. Code.</t>
  </si>
  <si>
    <t xml:space="preserve">Para que serve</t>
  </si>
  <si>
    <t xml:space="preserve">Fila unica de trabalho do PADAXOR. Existe porque tres agentes vinham consertando o mesmo arquivo sem saber, e a coordenacao dependia do CEO copiar texto entre tres telas.</t>
  </si>
  <si>
    <t xml:space="preserve">O que voce edita</t>
  </si>
  <si>
    <t xml:space="preserve">Apenas duas colunas na aba LINHA DE PRODUCAO: Estado e Observacao. E a coluna amarela 'Sua resposta' na aba DECISOES DO CEO. O resto e mantido pelo Dr. Code.</t>
  </si>
  <si>
    <t xml:space="preserve">Ordem da fila</t>
  </si>
  <si>
    <t xml:space="preserve">Ordenada por prioridade, nao por ordem em que voce pediu. P0 e o que causa dano irreversivel se faltar; P1 destrava produto; P2 e monetizacao; P3 e divida tecnica.</t>
  </si>
  <si>
    <t xml:space="preserve">Por que P0 vem antes de tudo</t>
  </si>
  <si>
    <t xml:space="preserve">Os itens 8, 9 e 10 tratam de isolamento entre clinicas e de senha. Errar ali nao tem desfazer: uma clinica vendo paciente de outra e dano que nao se conserta depois.</t>
  </si>
  <si>
    <t xml:space="preserve">Onde este arquivo deve viver</t>
  </si>
  <si>
    <t xml:space="preserve">Aqui no Drive para voce, e TAMBEM no repositorio (docs/) para os agentes lerem sem voce colar nada. Enquanto so existir no Drive, a coordenacao continua passando por voce.</t>
  </si>
  <si>
    <t xml:space="preserve">Como pedir trabalho novo</t>
  </si>
  <si>
    <t xml:space="preserve">Diga o que quer. O Dr. Code acrescenta uma linha com numero, responsavel e prioridade, em vez de o pedido virar mensagem solta que atropela o que esta em curso.</t>
  </si>
  <si>
    <t xml:space="preserve">Nomenclatura</t>
  </si>
  <si>
    <t xml:space="preserve">PADAXOR e o nome do sistema. PAWARDS e o motor e a empresa (Pawards Sistemas). PADCOM e outra empresa do CEO, de outros sistemas — nao confundir.</t>
  </si>
  <si>
    <t xml:space="preserve">Historico de nomes</t>
  </si>
  <si>
    <t xml:space="preserve">O sistema ja se chamou PAWARDS, depois PAXTER, depois PARXIS. Hoje e PADAXOR, com dominio proprio padaxor.com.br registrado em 27/07/2026.</t>
  </si>
  <si>
    <t xml:space="preserve">PADAXOR — Regras de edicao desta planilha</t>
  </si>
  <si>
    <t xml:space="preserve">Vale para todo mundo: CEO, Dr. Code, Dr. Replit, Dr. Lovable e Dr. Manus. A regra mestra e uma: NADA SE APAGA, tudo se acrescenta.</t>
  </si>
  <si>
    <t xml:space="preserve">Regra</t>
  </si>
  <si>
    <t xml:space="preserve">O que pode</t>
  </si>
  <si>
    <t xml:space="preserve">O que nao pode</t>
  </si>
  <si>
    <t xml:space="preserve">Por que</t>
  </si>
  <si>
    <t xml:space="preserve">Nada se apaga</t>
  </si>
  <si>
    <t xml:space="preserve">Acrescentar linha, acrescentar observacao, acrescentar comentario.</t>
  </si>
  <si>
    <t xml:space="preserve">Apagar linha, apagar texto de outra pessoa, sobrescrever celula que ja tinha conteudo.</t>
  </si>
  <si>
    <t xml:space="preserve">So se consegue comparar o que foi pedido, o que foi feito e o que foi corrigido se o antes continuar existindo. E o Art. 56 da Biblia: log append-only.</t>
  </si>
  <si>
    <t xml:space="preserve">Numero de item e permanente</t>
  </si>
  <si>
    <t xml:space="preserve">Criar item novo com numero maior que o ultimo em uso.</t>
  </si>
  <si>
    <t xml:space="preserve">Reaproveitar, reatribuir ou renumerar numero que ja existe.</t>
  </si>
  <si>
    <t xml:space="preserve">Em 30/07/2026 uma segunda fila reatribuiu os numeros 8 a 31 e os numeros 11 e 15 passaram a significar duas coisas. Um recado dizendo 'comece o item 11' ficou impossivel de obedecer.</t>
  </si>
  <si>
    <t xml:space="preserve">Mudanca de estado vira linha no HISTORICO</t>
  </si>
  <si>
    <t xml:space="preserve">Mudar a coluna Estado e registrar na aba HISTORICO: data, quem, de que para que, e por que.</t>
  </si>
  <si>
    <t xml:space="preserve">Mudar Estado sem deixar rastro.</t>
  </si>
  <si>
    <t xml:space="preserve">Sem o rastro ninguem sabe se o item foi concluido, corrigido ou apagado por engano.</t>
  </si>
  <si>
    <t xml:space="preserve">Concluido exige prova</t>
  </si>
  <si>
    <t xml:space="preserve">Marcar CONCLUIDO citando o hash do commit e o arquivo tocado.</t>
  </si>
  <si>
    <t xml:space="preserve">Marcar CONCLUIDO por prosa, memoria ou intencao.</t>
  </si>
  <si>
    <t xml:space="preserve">Art. 19 da Biblia: onda so fecha com hash no GitHub mais caso real testado. Anunciar sem prova e fantasia.</t>
  </si>
  <si>
    <t xml:space="preserve">Cada um na sua coluna</t>
  </si>
  <si>
    <t xml:space="preserve">Qualquer agente escreve na coluna Observacao, assinando com nome e data.</t>
  </si>
  <si>
    <t xml:space="preserve">Um agente mudar Responsavel, Depende de ou Prioridade de item de outro.</t>
  </si>
  <si>
    <t xml:space="preserve">Territorio esta na aba MATRIZ DA EQUIPE. Foi a fronteira que faltou quando dois agentes consertaram o mesmo arquivo tres vezes.</t>
  </si>
  <si>
    <t xml:space="preserve">Um escritor da estrutura</t>
  </si>
  <si>
    <t xml:space="preserve">Pedir mudanca de estrutura pela coluna Observacao ou pelo recado no repositorio.</t>
  </si>
  <si>
    <t xml:space="preserve">Dois agentes gerando a planilha ou subindo arquivo de mesmo nome para o Drive.</t>
  </si>
  <si>
    <t xml:space="preserve">Recurso compartilhado com dois escritores corrompe em silencio: foi o drizzle.config.ts, e depois foi esta propria planilha.</t>
  </si>
  <si>
    <t xml:space="preserve">As duas copias dizem a mesma coisa</t>
  </si>
  <si>
    <t xml:space="preserve">Ler no Drive (CEO) ou no repositorio em docs/LINHA_DE_PRODUCAO (agentes).</t>
  </si>
  <si>
    <t xml:space="preserve">Editar so uma das duas e deixar a outra velha.</t>
  </si>
  <si>
    <t xml:space="preserve">O espelho em texto e gerado desta planilha por script, nunca digitado a mao. Divergiu = alguem digitou.</t>
  </si>
  <si>
    <t xml:space="preserve">Decisao do CEO e so do CEO</t>
  </si>
  <si>
    <t xml:space="preserve">Qualquer um pode registrar uma pergunta na aba DECISOES DO CEO.</t>
  </si>
  <si>
    <t xml:space="preserve">Qualquer agente responder no lugar dele preco, plano ou decisao clinica.</t>
  </si>
  <si>
    <t xml:space="preserve">Art. 15 da Biblia, balde vermelho. Preco e decisao clinica nascem do cacique.</t>
  </si>
  <si>
    <t xml:space="preserve">PADAXOR — Historico de mudancas (append-only)</t>
  </si>
  <si>
    <t xml:space="preserve">So cresce. Linha nunca se apaga nem se corrige: mudou de novo, entra linha nova. Ordem cronologica, mais antigo em cima.</t>
  </si>
  <si>
    <t xml:space="preserve">Data</t>
  </si>
  <si>
    <t xml:space="preserve">Quem</t>
  </si>
  <si>
    <t xml:space="preserve">Campo</t>
  </si>
  <si>
    <t xml:space="preserve">Como estava</t>
  </si>
  <si>
    <t xml:space="preserve">Como ficou</t>
  </si>
  <si>
    <t xml:space="preserve">Por que mudou</t>
  </si>
  <si>
    <t xml:space="preserve">Prova</t>
  </si>
  <si>
    <t xml:space="preserve">29/07/2026</t>
  </si>
  <si>
    <t xml:space="preserve">criacao</t>
  </si>
  <si>
    <t xml:space="preserve">36 itens</t>
  </si>
  <si>
    <t xml:space="preserve">Primeira versao da fila. Existe porque tres vezes dois agentes consertaram o mesmo arquivo sem saber um do outro e o git aceitou os dois lados sem conflito.</t>
  </si>
  <si>
    <t xml:space="preserve">PR #6</t>
  </si>
  <si>
    <t xml:space="preserve">31</t>
  </si>
  <si>
    <t xml:space="preserve">Erro meu: a dependencia (item 7) ja estava concluida. O estado errado escondia trabalho livre do Dr. Lovable.</t>
  </si>
  <si>
    <t xml:space="preserve">conferir_coerencia.py</t>
  </si>
  <si>
    <t xml:space="preserve">Erro meu, inverso do anterior: aparecia livre, mas espera o RLS (item 9), que e do Dr. Code. O dono poderia comecar em cima de dependencia de outro.</t>
  </si>
  <si>
    <t xml:space="preserve">29</t>
  </si>
  <si>
    <t xml:space="preserve">Mesmo erro do item 18: espera o Cloudflare (item 13), que e do CEO.</t>
  </si>
  <si>
    <t xml:space="preserve">30/07/2026</t>
  </si>
  <si>
    <t xml:space="preserve">Tela de login dedicada entregue. Conferido no codigo, nao aceito em prosa: pages/login/index.tsx criado e CollaboratorGate passou a redirecionar.</t>
  </si>
  <si>
    <t xml:space="preserve">commit 3a38349</t>
  </si>
  <si>
    <t xml:space="preserve">15</t>
  </si>
  <si>
    <t xml:space="preserve">Titulo da aba e do aplicativo corrigidos. Entrega parcial: as telas internas seguem no item 38.</t>
  </si>
  <si>
    <t xml:space="preserve">12</t>
  </si>
  <si>
    <t xml:space="preserve">Liberado por consequencia: a tela do item 11 que o Dr. Lovable esperava passou a existir.</t>
  </si>
  <si>
    <t xml:space="preserve">37</t>
  </si>
  <si>
    <t xml:space="preserve">Item novo, ideia do Dr. Replit: auditoria de rotas sem filtro de empresa. Entrou como 37 e nao como 9 ou 10 porque esses numeros ja significam outra coisa desde 29/07.</t>
  </si>
  <si>
    <t xml:space="preserve">COLISAO_DE_NUMERACAO_26.07.30.md</t>
  </si>
  <si>
    <t xml:space="preserve">38</t>
  </si>
  <si>
    <t xml:space="preserve">Item novo: resto do rebrand nas telas internas, que o item 15 comecou.</t>
  </si>
  <si>
    <t xml:space="preserve">O Dr. Manus entrou na equipe de fato. Item de escopo fechado, ponta a ponta, sem dependencia — perfil dele. Libera o Dr. Code para os tres itens P0 de isolamento.</t>
  </si>
  <si>
    <t xml:space="preserve">pedido do CEO</t>
  </si>
  <si>
    <t xml:space="preserve">36</t>
  </si>
  <si>
    <t xml:space="preserve">A vaga em aberto do Dr. Manus foi usada: ele assumiu o item 30. A linha fica como registro; proxima missao dele entra como numero novo.</t>
  </si>
  <si>
    <t xml:space="preserve">coordenacao</t>
  </si>
  <si>
    <t xml:space="preserve">recado no repositorio</t>
  </si>
  <si>
    <t xml:space="preserve">recado no Slack em tempo real</t>
  </si>
  <si>
    <t xml:space="preserve">Premissa minha estava errada: eu afirmei que os agentes nao conseguiam conversar entre si. Todos tinham conector de Slack. Canal #padaxor-projeto passa a ser a caixa de recados, e o CEO sai do meio.</t>
  </si>
  <si>
    <t xml:space="preserve">CARTILHA/06 em PADUA-SOFTWARE-DESIGN</t>
  </si>
  <si>
    <t xml:space="preserve">estrutura</t>
  </si>
  <si>
    <t xml:space="preserve">4 abas</t>
  </si>
  <si>
    <t xml:space="preserve">6 abas</t>
  </si>
  <si>
    <t xml:space="preserve">Pedido do CEO: as regras passam a morar dentro do proprio arquivo, e o historico passa a registrar o antes e o depois de cada mudanca. Abas REGRAS DE EDICAO e HISTORICO.</t>
  </si>
  <si>
    <t xml:space="preserve">acrescente aqui</t>
  </si>
  <si>
    <t xml:space="preserve">PADAXOR — Glossario para o Dr. Caio</t>
  </si>
  <si>
    <t xml:space="preserve">Toda palavra tecnica usada pela equipe entra aqui. Ordem alfabetica automatica. Palavra nova aparece numa conversa, vira linha nova aqui.</t>
  </si>
  <si>
    <t xml:space="preserve">Palavra</t>
  </si>
  <si>
    <t xml:space="preserve">Sinonimos e como aparece</t>
  </si>
  <si>
    <t xml:space="preserve">O que e</t>
  </si>
  <si>
    <t xml:space="preserve">Em linguagem de leigo, com analogia</t>
  </si>
  <si>
    <t xml:space="preserve">API</t>
  </si>
  <si>
    <t xml:space="preserve">interface, endpoint, rota</t>
  </si>
  <si>
    <t xml:space="preserve">Interface de Programacao de Aplicacoes. O conjunto de portas por onde um programa pede coisas a outro.</t>
  </si>
  <si>
    <t xml:space="preserve">E o balcao de atendimento de um laboratorio. Voce nao entra no laboratorio: chega no balcao, entrega o pedido, recebe o resultado. A API e o balcao, e cada guiche e uma rota.</t>
  </si>
  <si>
    <t xml:space="preserve">O site conversa com o servidor por API. Quando o site mostra a lista de clientes, ele pediu pela API.</t>
  </si>
  <si>
    <t xml:space="preserve">append-only</t>
  </si>
  <si>
    <t xml:space="preserve">so cresce, log append-only</t>
  </si>
  <si>
    <t xml:space="preserve">Registro em que se acrescenta linha, nunca se apaga nem se corrige linha antiga.</t>
  </si>
  <si>
    <t xml:space="preserve">E o prontuario do paciente. Voce nao apaga a evolucao de ontem: escreve a de hoje embaixo. Se errou ontem, escreve hoje que errou. O erro fica registrado, e e isso que da valor legal.</t>
  </si>
  <si>
    <t xml:space="preserve">A aba HISTORICO desta planilha e append-only. E o que permite comparar o que foi pedido com o que foi feito.</t>
  </si>
  <si>
    <t xml:space="preserve">backup</t>
  </si>
  <si>
    <t xml:space="preserve">copia de seguranca, dump</t>
  </si>
  <si>
    <t xml:space="preserve">Copia dos dados guardada separada do original, para restaurar se o original se perder.</t>
  </si>
  <si>
    <t xml:space="preserve">E o seguro do carro. Custa todo mes e parece dinheiro jogado fora, ate o dia da batida.</t>
  </si>
  <si>
    <t xml:space="preserve">Item 2 da fila. Salvou a carga do banco quando o primeiro apagamento travou no meio.</t>
  </si>
  <si>
    <t xml:space="preserve">banco de dados</t>
  </si>
  <si>
    <t xml:space="preserve">banco, base, Postgres, SQL</t>
  </si>
  <si>
    <t xml:space="preserve">Programa que guarda os dados de forma organizada e permite buscar rapido.</t>
  </si>
  <si>
    <t xml:space="preserve">E o arquivo de fichas da clinica, mas que responde em um centesimo de segundo e nunca perde uma ficha por descuido.</t>
  </si>
  <si>
    <t xml:space="preserve">Seus 3.683 clientes e 24.287 resultados de exame vivem num banco chamado PostgreSQL.</t>
  </si>
  <si>
    <t xml:space="preserve">branch</t>
  </si>
  <si>
    <t xml:space="preserve">ramificacao, ramo</t>
  </si>
  <si>
    <t xml:space="preserve">Copia paralela do codigo onde se trabalha sem mexer na versao que esta no ar.</t>
  </si>
  <si>
    <t xml:space="preserve">E a via de um exame: voce faz o rascunho da conduta numa folha separada antes de escrever no prontuario oficial. Se der errado, joga a folha fora e o prontuario continua intacto.</t>
  </si>
  <si>
    <t xml:space="preserve">Todo trabalho meu comeca numa ramificacao. So vai para o codigo oficial depois de conferido.</t>
  </si>
  <si>
    <t xml:space="preserve">CI/CD</t>
  </si>
  <si>
    <t xml:space="preserve">integracao continua, GitHub Actions, esteira</t>
  </si>
  <si>
    <t xml:space="preserve">Robo que roda os testes sozinho a cada mudanca e barra o que quebrou antes de publicar.</t>
  </si>
  <si>
    <t xml:space="preserve">E a conferencia dupla da enfermagem antes de aplicar a medicacao. Ninguem confia so na memoria de quem preparou.</t>
  </si>
  <si>
    <t xml:space="preserve">Item 32 da fila. Hoje nao existe nenhum: por isso os erros das ultimas horas so apareceram depois de publicados.</t>
  </si>
  <si>
    <t xml:space="preserve">CNAME</t>
  </si>
  <si>
    <t xml:space="preserve">apontamento de DNS, ALIAS</t>
  </si>
  <si>
    <t xml:space="preserve">Tipo de registro de endereco na internet que diz 'este nome aponta para aquele outro nome'.</t>
  </si>
  <si>
    <t xml:space="preserve">E o encaminhamento de telefone: quem liga para o numero antigo cai automaticamente no novo, sem saber que foi encaminhado.</t>
  </si>
  <si>
    <t xml:space="preserve">Item 13. O Registro.br nao faz um tipo especifico que o servidor precisa; o Cloudflare faz.</t>
  </si>
  <si>
    <t xml:space="preserve">commit</t>
  </si>
  <si>
    <t xml:space="preserve">gravacao, ponto de salvamento</t>
  </si>
  <si>
    <t xml:space="preserve">Um pacote de mudancas no codigo, com autor, data e explicacao, gravado de forma permanente.</t>
  </si>
  <si>
    <t xml:space="preserve">E uma entrada assinada no prontuario: quem escreveu, quando, e o que mudou. Nao se apaga.</t>
  </si>
  <si>
    <t xml:space="preserve">O Dr. Replit entregou os itens 11 e 15 no commit 3a38349. Esse numero e a prova de que existe.</t>
  </si>
  <si>
    <t xml:space="preserve">CORS</t>
  </si>
  <si>
    <t xml:space="preserve">lista de origens permitidas</t>
  </si>
  <si>
    <t xml:space="preserve">Regra que diz quais sites tem permissao de chamar o seu servidor.</t>
  </si>
  <si>
    <t xml:space="preserve">E a lista da portaria do predio: so sobe quem esta na lista. Sem a lista certa, ate o morador fica na calcada.</t>
  </si>
  <si>
    <t xml:space="preserve">Item 3. Estava com valor invalido e por isso o site nao conseguia falar com o servidor.</t>
  </si>
  <si>
    <t xml:space="preserve">deploy</t>
  </si>
  <si>
    <t xml:space="preserve">publicar, subir, colocar no ar</t>
  </si>
  <si>
    <t xml:space="preserve">Levar o codigo do computador do programador para o servidor onde o cliente usa.</t>
  </si>
  <si>
    <t xml:space="preserve">E a diferenca entre escrever a receita no bloco e entregar na mao do paciente. Enquanto nao entregou, nao existe para ele.</t>
  </si>
  <si>
    <t xml:space="preserve">Regra numero 1 da equipe: ninguem anuncia pronto antes de estar publicado.</t>
  </si>
  <si>
    <t xml:space="preserve">DKIM</t>
  </si>
  <si>
    <t xml:space="preserve">assinatura de e-mail</t>
  </si>
  <si>
    <t xml:space="preserve">Assinatura digital que prova que o e-mail saiu mesmo do dominio que diz ter saido.</t>
  </si>
  <si>
    <t xml:space="preserve">E o carimbo e a assinatura no receituario. Sem eles, a farmacia trata como falsificacao.</t>
  </si>
  <si>
    <t xml:space="preserve">Item 29. Sem isso o Gmail marca seu convite de socio com tarja vermelha de golpe.</t>
  </si>
  <si>
    <t xml:space="preserve">DNS</t>
  </si>
  <si>
    <t xml:space="preserve">servidor de nomes, dominio</t>
  </si>
  <si>
    <t xml:space="preserve">Sistema que traduz um nome como padaxor.com.br no endereco numerico real do servidor.</t>
  </si>
  <si>
    <t xml:space="preserve">E a lista telefonica: voce sabe o nome da pessoa, e ela devolve o numero. Ninguem decora o numero.</t>
  </si>
  <si>
    <t xml:space="preserve">Itens 13 e 14. Sem DNS certo, o endereco padaxor.com.br nao chega no sistema.</t>
  </si>
  <si>
    <t xml:space="preserve">endpoint</t>
  </si>
  <si>
    <t xml:space="preserve">rota, porta, guiche</t>
  </si>
  <si>
    <t xml:space="preserve">Um endereco especifico da API que faz uma coisa so.</t>
  </si>
  <si>
    <t xml:space="preserve">E o guiche especifico dentro do balcao: um guiche para entregar exame, outro para retirar resultado.</t>
  </si>
  <si>
    <t xml:space="preserve">/api/collaborator/login e o guiche de entrada do colaborador.</t>
  </si>
  <si>
    <t xml:space="preserve">FK</t>
  </si>
  <si>
    <t xml:space="preserve">chave estrangeira, foreign key, vinculo</t>
  </si>
  <si>
    <t xml:space="preserve">Coluna que amarra uma linha de uma tabela a uma linha de outra tabela.</t>
  </si>
  <si>
    <t xml:space="preserve">E o numero do prontuario escrito no pedido de exame: e o que amarra aquele exame aquele paciente e nao a outro.</t>
  </si>
  <si>
    <t xml:space="preserve">Item 8. Hoje o colaborador nao tem esse vinculo com a clinica: existe solto.</t>
  </si>
  <si>
    <t xml:space="preserve">hash</t>
  </si>
  <si>
    <t xml:space="preserve">resumo criptografico, impressao digital, identificador de commit</t>
  </si>
  <si>
    <t xml:space="preserve">Numero unico calculado a partir de um conteudo. Mudou uma virgula no conteudo, o numero muda inteiro.</t>
  </si>
  <si>
    <t xml:space="preserve">E a impressao digital de um documento. Duas pessoas nao tem a mesma, e a sua nao muda sozinha. Se o documento foi adulterado, a impressao digital nao bate mais.</t>
  </si>
  <si>
    <t xml:space="preserve">Serve para provar entrega. Quando eu digo 'commit 3a38349', voce pode conferir que aquele codigo existe exatamente daquele jeito. E a regra anti-fantasia do seu Art. 19.</t>
  </si>
  <si>
    <t xml:space="preserve">idempotente</t>
  </si>
  <si>
    <t xml:space="preserve">reprocessavel, seguro para repetir</t>
  </si>
  <si>
    <t xml:space="preserve">Operacao que pode ser repetida quantas vezes for e o resultado final e sempre o mesmo.</t>
  </si>
  <si>
    <t xml:space="preserve">E apertar o botao do elevador. Apertar dez vezes nao chama dez elevadores: o andar continua marcado uma vez so.</t>
  </si>
  <si>
    <t xml:space="preserve">Art. 57 da sua Biblia. Toda operacao que grava dado tem de poder rodar de novo sem duplicar.</t>
  </si>
  <si>
    <t xml:space="preserve">indice unico</t>
  </si>
  <si>
    <t xml:space="preserve">unique index, restricao de unicidade</t>
  </si>
  <si>
    <t xml:space="preserve">Regra do banco que impede dois registros de terem o mesmo valor num campo.</t>
  </si>
  <si>
    <t xml:space="preserve">E o CPF: o cartorio nao deixa dois cadastros com o mesmo numero. A regra vive no cartorio, nao na boa vontade de quem preenche.</t>
  </si>
  <si>
    <t xml:space="preserve">Item 17. Impede dois colaboradores com o mesmo nome de usuario.</t>
  </si>
  <si>
    <t xml:space="preserve">main</t>
  </si>
  <si>
    <t xml:space="preserve">principal, tronco, producao</t>
  </si>
  <si>
    <t xml:space="preserve">A ramificacao oficial do codigo, a que esta valendo de verdade.</t>
  </si>
  <si>
    <t xml:space="preserve">E o prontuario oficial, nao o rascunho. O que nao esta nele, oficialmente nao aconteceu.</t>
  </si>
  <si>
    <t xml:space="preserve">Regra da equipe: construido no ambiente local e rascunho; so vale quando esta na main.</t>
  </si>
  <si>
    <t xml:space="preserve">merge</t>
  </si>
  <si>
    <t xml:space="preserve">mesclar, juntar, fundir</t>
  </si>
  <si>
    <t xml:space="preserve">Juntar o trabalho de duas ramificacoes num so.</t>
  </si>
  <si>
    <t xml:space="preserve">E juntar as anotacoes de dois medicos sobre o mesmo paciente num prontuario unico.</t>
  </si>
  <si>
    <t xml:space="preserve">O perigo e o conflito: quando os dois mexeram na mesma linha e o programa nao sabe qual vale.</t>
  </si>
  <si>
    <t xml:space="preserve">middleware</t>
  </si>
  <si>
    <t xml:space="preserve">camada intermediaria, porteiro</t>
  </si>
  <si>
    <t xml:space="preserve">Codigo que fica no meio do caminho de toda chamada e decide se ela passa.</t>
  </si>
  <si>
    <t xml:space="preserve">E o porteiro do predio: toda visita passa por ele antes de chegar no apartamento, e ele decide quem sobe.</t>
  </si>
  <si>
    <t xml:space="preserve">O basicAuth e o porteiro do sistema. Foi um dos tres arquivos onde dois agentes colidiram.</t>
  </si>
  <si>
    <t xml:space="preserve">migration</t>
  </si>
  <si>
    <t xml:space="preserve">migracao, alteracao de estrutura</t>
  </si>
  <si>
    <t xml:space="preserve">Script que muda a estrutura do banco de dados de forma controlada e registrada.</t>
  </si>
  <si>
    <t xml:space="preserve">E a reforma da clinica com planta aprovada e registrada, em vez de derrubar parede no impulso.</t>
  </si>
  <si>
    <t xml:space="preserve">O item 8 vai precisar de uma: acrescentar a coluna de vinculo da clinica.</t>
  </si>
  <si>
    <t xml:space="preserve">mock</t>
  </si>
  <si>
    <t xml:space="preserve">simulacao, dado de mentira, placeholder</t>
  </si>
  <si>
    <t xml:space="preserve">Dado ou resposta falsa usada so para testar, no lugar do dado real.</t>
  </si>
  <si>
    <t xml:space="preserve">E o manequim de treinamento. Serve para ensaiar, e e perigoso se alguem esquecer e tratar como paciente.</t>
  </si>
  <si>
    <t xml:space="preserve">Cuidado permanente: mock esquecido em producao vira numero falso na tela do cliente.</t>
  </si>
  <si>
    <t xml:space="preserve">multi-tenant</t>
  </si>
  <si>
    <t xml:space="preserve">multi-inquilino, isolamento entre clinicas</t>
  </si>
  <si>
    <t xml:space="preserve">Um mesmo sistema atendendo varios clientes com os dados separados entre si.</t>
  </si>
  <si>
    <t xml:space="preserve">E um predio de consultorios: mesma estrutura, mesmo elevador, mas cada sala tem chave propria e ninguem entra na do outro.</t>
  </si>
  <si>
    <t xml:space="preserve">Itens 9 e 37. E o que precisa estar de pe antes de licenciar a segunda clinica.</t>
  </si>
  <si>
    <t xml:space="preserve">PR</t>
  </si>
  <si>
    <t xml:space="preserve">pull request, pedido de incorporacao</t>
  </si>
  <si>
    <t xml:space="preserve">Pedido formal para juntar um trabalho na versao oficial, com espaco para revisao antes.</t>
  </si>
  <si>
    <t xml:space="preserve">E o pedido de parecer antes da cirurgia. Alguem olha, comenta, e so depois entra.</t>
  </si>
  <si>
    <t xml:space="preserve">A PR numero 6 e onde vive esta planilha e a fila de producao.</t>
  </si>
  <si>
    <t xml:space="preserve">PWA</t>
  </si>
  <si>
    <t xml:space="preserve">aplicativo web progressivo</t>
  </si>
  <si>
    <t xml:space="preserve">Site que se comporta como aplicativo de celular, com icone na tela inicial e uso sem internet.</t>
  </si>
  <si>
    <t xml:space="preserve">E um aparelho que serve de dois jeitos: no consultorio parece bancada, na mao vira portatil. Mesmo aparelho.</t>
  </si>
  <si>
    <t xml:space="preserve">Ideia para a area do paciente no celular, sem publicar em loja de aplicativos.</t>
  </si>
  <si>
    <t xml:space="preserve">RBAC</t>
  </si>
  <si>
    <t xml:space="preserve">controle de acesso por papel</t>
  </si>
  <si>
    <t xml:space="preserve">Regra que define o que cada tipo de usuario pode ver e fazer.</t>
  </si>
  <si>
    <t xml:space="preserve">E a diferenca entre medico, enfermeiro e recepcao no sistema da clinica: cada um ve a tela do seu papel.</t>
  </si>
  <si>
    <t xml:space="preserve">Precisa existir para o licenciado ver so a propria clinica e voce ver todas.</t>
  </si>
  <si>
    <t xml:space="preserve">repositorio</t>
  </si>
  <si>
    <t xml:space="preserve">repo, GitHub</t>
  </si>
  <si>
    <t xml:space="preserve">O lugar onde o codigo mora, com todo o historico de quem mudou o que e quando.</t>
  </si>
  <si>
    <t xml:space="preserve">E o arquivo morto da clinica, mas em que nada se perde e da para voltar a qualquer dia do passado.</t>
  </si>
  <si>
    <t xml:space="preserve">Protocolo-Manager e Parlegis sao dois repositorios diferentes, de dois sistemas diferentes.</t>
  </si>
  <si>
    <t xml:space="preserve">RLS</t>
  </si>
  <si>
    <t xml:space="preserve">Row-Level Security, seguranca por linha</t>
  </si>
  <si>
    <t xml:space="preserve">Trava dentro do proprio banco que impede um cliente de ler a linha de outro, mesmo com erro do programador.</t>
  </si>
  <si>
    <t xml:space="preserve">E a tranca da porta da sala, nao o aviso 'por favor nao entre'. O aviso depende da boa vontade; a tranca nao.</t>
  </si>
  <si>
    <t xml:space="preserve">Item 9, o mais critico da fila. Hoje existem zero trancas: a separacao depende do programador lembrar.</t>
  </si>
  <si>
    <t xml:space="preserve">scrypt</t>
  </si>
  <si>
    <t xml:space="preserve">algoritmo de senha, derivacao de chave</t>
  </si>
  <si>
    <t xml:space="preserve">Metodo de embaralhar a senha de um jeito que nao se desfaz, para guardar sem saber qual e.</t>
  </si>
  <si>
    <t xml:space="preserve">E guardar a impressao digital do paciente em vez do dedo dele. Da para conferir se bate, mas ninguem reconstroi o dedo a partir dela.</t>
  </si>
  <si>
    <t xml:space="preserve">Item 10. Existem dois usos diferentes com a mesma etiqueta, e foi isso que quebrou seu login.</t>
  </si>
  <si>
    <t xml:space="preserve">SPF</t>
  </si>
  <si>
    <t xml:space="preserve">autorizacao de remetente</t>
  </si>
  <si>
    <t xml:space="preserve">Registro que diz quais servidores tem permissao de mandar e-mail em nome do seu dominio.</t>
  </si>
  <si>
    <t xml:space="preserve">E a lista de quem pode assinar receita em nome da clinica. Sem ela, qualquer um assina.</t>
  </si>
  <si>
    <t xml:space="preserve">Item 29, junto com o DKIM.</t>
  </si>
  <si>
    <t xml:space="preserve">SSE</t>
  </si>
  <si>
    <t xml:space="preserve">eventos do servidor, tempo real</t>
  </si>
  <si>
    <t xml:space="preserve">Tecnica em que o servidor avisa a tela sozinho quando algo muda, sem a tela ficar perguntando.</t>
  </si>
  <si>
    <t xml:space="preserve">E o monitor de sinais vitais: ele avisa quando muda, voce nao fica olhando de minuto em minuto.</t>
  </si>
  <si>
    <t xml:space="preserve">Ideia para o painel de consumo atualizar sozinho.</t>
  </si>
  <si>
    <t xml:space="preserve">token</t>
  </si>
  <si>
    <t xml:space="preserve">cracha, Bearer, chave de sessao</t>
  </si>
  <si>
    <t xml:space="preserve">Codigo temporario que prova quem voce e depois que voce ja fez o login.</t>
  </si>
  <si>
    <t xml:space="preserve">E a pulseira do hospital. Voce se identifica uma vez na recepcao e depois so mostra a pulseira em cada setor.</t>
  </si>
  <si>
    <t xml:space="preserve">Item 5. O cracha existia, mas o porteiro nao olhava para ele.</t>
  </si>
  <si>
    <t xml:space="preserve">UPSERT</t>
  </si>
  <si>
    <t xml:space="preserve">inserir ou atualizar</t>
  </si>
  <si>
    <t xml:space="preserve">Operacao que grava o registro se ele nao existe, e atualiza se ja existe.</t>
  </si>
  <si>
    <t xml:space="preserve">E abrir ficha se o paciente e novo, ou atualizar a que ja existe se ele ja veio antes. Uma decisao so, automatica.</t>
  </si>
  <si>
    <t xml:space="preserve">Serve para carga de dados poder rodar duas vezes sem duplicar ninguem.</t>
  </si>
  <si>
    <t xml:space="preserve">webhook</t>
  </si>
  <si>
    <t xml:space="preserve">aviso automatico, gancho</t>
  </si>
  <si>
    <t xml:space="preserve">Chamada que um sistema faz no outro sozinho quando um evento acontece.</t>
  </si>
  <si>
    <t xml:space="preserve">E o laboratorio que liga para voce quando o resultado critico sai, em vez de voce ligar de hora em hora perguntando.</t>
  </si>
  <si>
    <t xml:space="preserve">Item 28: o provisionamento da clinica deve pendurar no aviso de pagamento confirmado, nunca antes dele.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</si>
</sst>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2A231B"/>
      <name val="Arial"/>
      <family val="0"/>
      <charset val="1"/>
    </font>
    <font>
      <i val="true"/>
      <sz val="9"/>
      <color rgb="FF6B5F4E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2A231B"/>
      <name val="Arial"/>
      <family val="0"/>
      <charset val="1"/>
    </font>
    <font>
      <b val="true"/>
      <sz val="10"/>
      <color rgb="FF9A6B28"/>
      <name val="Arial"/>
      <family val="0"/>
      <charset val="1"/>
    </font>
    <font>
      <b val="true"/>
      <sz val="9"/>
      <color rgb="FF2A231B"/>
      <name val="Arial"/>
      <family val="0"/>
      <charset val="1"/>
    </font>
    <font>
      <b val="true"/>
      <i val="true"/>
      <sz val="9"/>
      <color rgb="FF9A6B28"/>
      <name val="Arial"/>
      <family val="0"/>
      <charset val="1"/>
    </font>
    <font>
      <i val="true"/>
      <sz val="9"/>
      <color rgb="FF9A8F7E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F2E6D0"/>
        <bgColor rgb="FFF4EAD2"/>
      </patternFill>
    </fill>
    <fill>
      <patternFill patternType="solid">
        <fgColor rgb="FF2A231B"/>
        <bgColor rgb="FF333300"/>
      </patternFill>
    </fill>
    <fill>
      <patternFill patternType="solid">
        <fgColor rgb="FFE2EBDE"/>
        <bgColor rgb="FFF2E6D0"/>
      </patternFill>
    </fill>
    <fill>
      <patternFill patternType="solid">
        <fgColor rgb="FFF4EAD2"/>
        <bgColor rgb="FFF2E6D0"/>
      </patternFill>
    </fill>
    <fill>
      <patternFill patternType="solid">
        <fgColor rgb="FFF6F2EA"/>
        <bgColor rgb="FFF4EAD2"/>
      </patternFill>
    </fill>
    <fill>
      <patternFill patternType="solid">
        <fgColor rgb="FFFFFFCC"/>
        <bgColor rgb="FFF6F2E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DD2BF"/>
      </left>
      <right style="thin">
        <color rgb="FFDDD2BF"/>
      </right>
      <top style="thin">
        <color rgb="FFDDD2BF"/>
      </top>
      <bottom style="thin">
        <color rgb="FFDDD2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2A231B"/>
          <bgColor rgb="FF000000"/>
        </patternFill>
      </fill>
    </dxf>
    <dxf>
      <fill>
        <patternFill patternType="solid">
          <fgColor rgb="FFE2EBDE"/>
          <bgColor rgb="FF000000"/>
        </patternFill>
      </fill>
    </dxf>
    <dxf>
      <fill>
        <patternFill patternType="solid">
          <fgColor rgb="FFF4EAD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6F2EA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9A6B28"/>
      <rgbColor rgb="FF800080"/>
      <rgbColor rgb="FF008080"/>
      <rgbColor rgb="FFDDD2BF"/>
      <rgbColor rgb="FF808080"/>
      <rgbColor rgb="FF9999FF"/>
      <rgbColor rgb="FF993366"/>
      <rgbColor rgb="FFFFFFCC"/>
      <rgbColor rgb="FFF6F2E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BDE"/>
      <rgbColor rgb="FFF4EAD2"/>
      <rgbColor rgb="FF99CCFF"/>
      <rgbColor rgb="FFFF99CC"/>
      <rgbColor rgb="FFCC99FF"/>
      <rgbColor rgb="FFF2E6D0"/>
      <rgbColor rgb="FF3366FF"/>
      <rgbColor rgb="FF33CCCC"/>
      <rgbColor rgb="FF99CC00"/>
      <rgbColor rgb="FFFFCC00"/>
      <rgbColor rgb="FFFF9900"/>
      <rgbColor rgb="FFFF6600"/>
      <rgbColor rgb="FF6B5F4E"/>
      <rgbColor rgb="FF9A8F7E"/>
      <rgbColor rgb="FF003366"/>
      <rgbColor rgb="FF339966"/>
      <rgbColor rgb="FF003300"/>
      <rgbColor rgb="FF333300"/>
      <rgbColor rgb="FF993300"/>
      <rgbColor rgb="FF993366"/>
      <rgbColor rgb="FF333399"/>
      <rgbColor rgb="FF2A231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0"/>
    <col collapsed="false" customWidth="true" hidden="false" outlineLevel="0" max="3" min="3" style="0" width="52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4"/>
    <col collapsed="false" customWidth="true" hidden="false" outlineLevel="0" max="7" min="7" style="0" width="11"/>
    <col collapsed="false" customWidth="true" hidden="false" outlineLevel="0" max="8" min="8" style="0" width="10"/>
    <col collapsed="false" customWidth="true" hidden="false" outlineLevel="0" max="9" min="9" style="0" width="40"/>
    <col collapsed="false" customWidth="true" hidden="false" outlineLevel="0" max="10" min="10" style="0" width="58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customFormat="false" ht="45.75" hidden="false" customHeight="true" outlineLevel="0" collapsed="false">
      <c r="A5" s="4" t="n">
        <v>1</v>
      </c>
      <c r="B5" s="4" t="s">
        <v>12</v>
      </c>
      <c r="C5" s="4" t="s">
        <v>13</v>
      </c>
      <c r="D5" s="4" t="s">
        <v>14</v>
      </c>
      <c r="E5" s="4" t="s">
        <v>15</v>
      </c>
      <c r="F5" s="4" t="s">
        <v>16</v>
      </c>
      <c r="G5" s="4" t="s">
        <v>17</v>
      </c>
      <c r="H5" s="4" t="s">
        <v>18</v>
      </c>
      <c r="I5" s="4" t="s">
        <v>19</v>
      </c>
      <c r="J5" s="4" t="s">
        <v>20</v>
      </c>
    </row>
    <row r="6" customFormat="false" ht="45.75" hidden="false" customHeight="true" outlineLevel="0" collapsed="false">
      <c r="A6" s="4" t="n">
        <v>2</v>
      </c>
      <c r="B6" s="4" t="s">
        <v>21</v>
      </c>
      <c r="C6" s="4" t="s">
        <v>22</v>
      </c>
      <c r="D6" s="4" t="s">
        <v>23</v>
      </c>
      <c r="E6" s="4" t="s">
        <v>15</v>
      </c>
      <c r="F6" s="4" t="s">
        <v>16</v>
      </c>
      <c r="G6" s="4" t="s">
        <v>17</v>
      </c>
      <c r="H6" s="4" t="s">
        <v>18</v>
      </c>
      <c r="I6" s="4" t="s">
        <v>24</v>
      </c>
      <c r="J6" s="4" t="s">
        <v>25</v>
      </c>
    </row>
    <row r="7" customFormat="false" ht="45.75" hidden="false" customHeight="true" outlineLevel="0" collapsed="false">
      <c r="A7" s="4" t="n">
        <v>3</v>
      </c>
      <c r="B7" s="4" t="s">
        <v>26</v>
      </c>
      <c r="C7" s="4" t="s">
        <v>27</v>
      </c>
      <c r="D7" s="4" t="s">
        <v>28</v>
      </c>
      <c r="E7" s="4" t="s">
        <v>15</v>
      </c>
      <c r="F7" s="4" t="s">
        <v>16</v>
      </c>
      <c r="G7" s="4" t="s">
        <v>17</v>
      </c>
      <c r="H7" s="4" t="s">
        <v>18</v>
      </c>
      <c r="I7" s="4" t="s">
        <v>29</v>
      </c>
      <c r="J7" s="4" t="s">
        <v>30</v>
      </c>
    </row>
    <row r="8" customFormat="false" ht="45.75" hidden="false" customHeight="true" outlineLevel="0" collapsed="false">
      <c r="A8" s="4" t="n">
        <v>4</v>
      </c>
      <c r="B8" s="4" t="s">
        <v>31</v>
      </c>
      <c r="C8" s="4" t="s">
        <v>32</v>
      </c>
      <c r="D8" s="4" t="s">
        <v>28</v>
      </c>
      <c r="E8" s="4" t="s">
        <v>33</v>
      </c>
      <c r="F8" s="4" t="s">
        <v>16</v>
      </c>
      <c r="G8" s="4" t="s">
        <v>17</v>
      </c>
      <c r="H8" s="4" t="s">
        <v>18</v>
      </c>
      <c r="I8" s="4" t="s">
        <v>34</v>
      </c>
      <c r="J8" s="4" t="s">
        <v>35</v>
      </c>
    </row>
    <row r="9" customFormat="false" ht="45.75" hidden="false" customHeight="true" outlineLevel="0" collapsed="false">
      <c r="A9" s="4" t="n">
        <v>5</v>
      </c>
      <c r="B9" s="4" t="s">
        <v>36</v>
      </c>
      <c r="C9" s="4" t="s">
        <v>37</v>
      </c>
      <c r="D9" s="4" t="s">
        <v>28</v>
      </c>
      <c r="E9" s="4" t="s">
        <v>38</v>
      </c>
      <c r="F9" s="4" t="s">
        <v>16</v>
      </c>
      <c r="G9" s="4" t="s">
        <v>17</v>
      </c>
      <c r="H9" s="4" t="s">
        <v>18</v>
      </c>
      <c r="I9" s="4" t="s">
        <v>39</v>
      </c>
      <c r="J9" s="4" t="s">
        <v>40</v>
      </c>
    </row>
    <row r="10" customFormat="false" ht="45.75" hidden="false" customHeight="true" outlineLevel="0" collapsed="false">
      <c r="A10" s="4" t="n">
        <v>6</v>
      </c>
      <c r="B10" s="4" t="s">
        <v>41</v>
      </c>
      <c r="C10" s="4" t="s">
        <v>42</v>
      </c>
      <c r="D10" s="4" t="s">
        <v>43</v>
      </c>
      <c r="E10" s="4" t="s">
        <v>15</v>
      </c>
      <c r="F10" s="4" t="s">
        <v>16</v>
      </c>
      <c r="G10" s="4" t="s">
        <v>44</v>
      </c>
      <c r="H10" s="4" t="s">
        <v>18</v>
      </c>
      <c r="I10" s="4" t="s">
        <v>45</v>
      </c>
      <c r="J10" s="4" t="s">
        <v>46</v>
      </c>
    </row>
    <row r="11" customFormat="false" ht="45.75" hidden="false" customHeight="true" outlineLevel="0" collapsed="false">
      <c r="A11" s="4" t="n">
        <v>7</v>
      </c>
      <c r="B11" s="4" t="s">
        <v>47</v>
      </c>
      <c r="C11" s="4" t="s">
        <v>48</v>
      </c>
      <c r="D11" s="4" t="s">
        <v>14</v>
      </c>
      <c r="E11" s="4" t="s">
        <v>33</v>
      </c>
      <c r="F11" s="4" t="s">
        <v>16</v>
      </c>
      <c r="G11" s="4" t="s">
        <v>44</v>
      </c>
      <c r="H11" s="4" t="s">
        <v>18</v>
      </c>
      <c r="I11" s="4" t="s">
        <v>49</v>
      </c>
      <c r="J11" s="4" t="s">
        <v>50</v>
      </c>
    </row>
    <row r="12" customFormat="false" ht="45.75" hidden="false" customHeight="true" outlineLevel="0" collapsed="false">
      <c r="A12" s="5" t="n">
        <v>8</v>
      </c>
      <c r="B12" s="5" t="s">
        <v>51</v>
      </c>
      <c r="C12" s="5" t="s">
        <v>52</v>
      </c>
      <c r="D12" s="5" t="s">
        <v>28</v>
      </c>
      <c r="E12" s="5" t="s">
        <v>15</v>
      </c>
      <c r="F12" s="5" t="s">
        <v>53</v>
      </c>
      <c r="G12" s="5" t="s">
        <v>17</v>
      </c>
      <c r="H12" s="5" t="s">
        <v>54</v>
      </c>
      <c r="I12" s="5" t="s">
        <v>55</v>
      </c>
      <c r="J12" s="5" t="s">
        <v>56</v>
      </c>
    </row>
    <row r="13" customFormat="false" ht="45.75" hidden="false" customHeight="true" outlineLevel="0" collapsed="false">
      <c r="A13" s="5" t="n">
        <v>9</v>
      </c>
      <c r="B13" s="5" t="s">
        <v>57</v>
      </c>
      <c r="C13" s="5" t="s">
        <v>58</v>
      </c>
      <c r="D13" s="5" t="s">
        <v>28</v>
      </c>
      <c r="E13" s="5" t="s">
        <v>59</v>
      </c>
      <c r="F13" s="5" t="s">
        <v>53</v>
      </c>
      <c r="G13" s="5" t="s">
        <v>17</v>
      </c>
      <c r="H13" s="5" t="s">
        <v>60</v>
      </c>
      <c r="I13" s="5" t="s">
        <v>61</v>
      </c>
      <c r="J13" s="5" t="s">
        <v>62</v>
      </c>
    </row>
    <row r="14" customFormat="false" ht="45.75" hidden="false" customHeight="true" outlineLevel="0" collapsed="false">
      <c r="A14" s="5" t="n">
        <v>10</v>
      </c>
      <c r="B14" s="5" t="s">
        <v>63</v>
      </c>
      <c r="C14" s="5" t="s">
        <v>64</v>
      </c>
      <c r="D14" s="5" t="s">
        <v>28</v>
      </c>
      <c r="E14" s="5" t="s">
        <v>15</v>
      </c>
      <c r="F14" s="5" t="s">
        <v>53</v>
      </c>
      <c r="G14" s="5" t="s">
        <v>17</v>
      </c>
      <c r="H14" s="5" t="s">
        <v>65</v>
      </c>
      <c r="I14" s="5" t="s">
        <v>66</v>
      </c>
      <c r="J14" s="5" t="s">
        <v>67</v>
      </c>
    </row>
    <row r="15" customFormat="false" ht="45.75" hidden="false" customHeight="true" outlineLevel="0" collapsed="false">
      <c r="A15" s="4" t="n">
        <v>11</v>
      </c>
      <c r="B15" s="4" t="s">
        <v>68</v>
      </c>
      <c r="C15" s="4" t="s">
        <v>69</v>
      </c>
      <c r="D15" s="4" t="s">
        <v>14</v>
      </c>
      <c r="E15" s="4" t="s">
        <v>70</v>
      </c>
      <c r="F15" s="4" t="s">
        <v>16</v>
      </c>
      <c r="G15" s="4" t="s">
        <v>44</v>
      </c>
      <c r="H15" s="4" t="s">
        <v>18</v>
      </c>
      <c r="I15" s="4" t="s">
        <v>71</v>
      </c>
      <c r="J15" s="4" t="s">
        <v>72</v>
      </c>
    </row>
    <row r="16" customFormat="false" ht="45.75" hidden="false" customHeight="true" outlineLevel="0" collapsed="false">
      <c r="A16" s="5" t="n">
        <v>12</v>
      </c>
      <c r="B16" s="5" t="s">
        <v>73</v>
      </c>
      <c r="C16" s="5" t="s">
        <v>74</v>
      </c>
      <c r="D16" s="5" t="s">
        <v>43</v>
      </c>
      <c r="E16" s="5" t="s">
        <v>75</v>
      </c>
      <c r="F16" s="5" t="s">
        <v>53</v>
      </c>
      <c r="G16" s="5" t="s">
        <v>44</v>
      </c>
      <c r="H16" s="5" t="s">
        <v>76</v>
      </c>
      <c r="I16" s="5" t="s">
        <v>77</v>
      </c>
      <c r="J16" s="5" t="s">
        <v>78</v>
      </c>
    </row>
    <row r="17" customFormat="false" ht="45.75" hidden="false" customHeight="true" outlineLevel="0" collapsed="false">
      <c r="A17" s="5" t="n">
        <v>13</v>
      </c>
      <c r="B17" s="5" t="s">
        <v>79</v>
      </c>
      <c r="C17" s="5" t="s">
        <v>80</v>
      </c>
      <c r="D17" s="5" t="s">
        <v>23</v>
      </c>
      <c r="E17" s="5" t="s">
        <v>15</v>
      </c>
      <c r="F17" s="5" t="s">
        <v>53</v>
      </c>
      <c r="G17" s="5" t="s">
        <v>44</v>
      </c>
      <c r="H17" s="5" t="s">
        <v>81</v>
      </c>
      <c r="I17" s="5" t="s">
        <v>82</v>
      </c>
      <c r="J17" s="5" t="s">
        <v>83</v>
      </c>
    </row>
    <row r="18" customFormat="false" ht="45.75" hidden="false" customHeight="true" outlineLevel="0" collapsed="false">
      <c r="A18" s="6" t="n">
        <v>14</v>
      </c>
      <c r="B18" s="6" t="s">
        <v>84</v>
      </c>
      <c r="C18" s="6" t="s">
        <v>85</v>
      </c>
      <c r="D18" s="6" t="s">
        <v>28</v>
      </c>
      <c r="E18" s="6" t="s">
        <v>86</v>
      </c>
      <c r="F18" s="6" t="s">
        <v>87</v>
      </c>
      <c r="G18" s="6" t="s">
        <v>44</v>
      </c>
      <c r="H18" s="6" t="s">
        <v>76</v>
      </c>
      <c r="I18" s="6" t="s">
        <v>88</v>
      </c>
      <c r="J18" s="6" t="s">
        <v>89</v>
      </c>
    </row>
    <row r="19" customFormat="false" ht="45.75" hidden="false" customHeight="true" outlineLevel="0" collapsed="false">
      <c r="A19" s="4" t="n">
        <v>15</v>
      </c>
      <c r="B19" s="4" t="s">
        <v>90</v>
      </c>
      <c r="C19" s="4" t="s">
        <v>91</v>
      </c>
      <c r="D19" s="4" t="s">
        <v>14</v>
      </c>
      <c r="E19" s="4" t="s">
        <v>15</v>
      </c>
      <c r="F19" s="4" t="s">
        <v>16</v>
      </c>
      <c r="G19" s="4" t="s">
        <v>44</v>
      </c>
      <c r="H19" s="4" t="s">
        <v>92</v>
      </c>
      <c r="I19" s="4" t="s">
        <v>93</v>
      </c>
      <c r="J19" s="4" t="s">
        <v>94</v>
      </c>
    </row>
    <row r="20" customFormat="false" ht="45.75" hidden="false" customHeight="true" outlineLevel="0" collapsed="false">
      <c r="A20" s="5" t="n">
        <v>16</v>
      </c>
      <c r="B20" s="5" t="s">
        <v>95</v>
      </c>
      <c r="C20" s="5" t="s">
        <v>96</v>
      </c>
      <c r="D20" s="5" t="s">
        <v>43</v>
      </c>
      <c r="E20" s="5" t="s">
        <v>15</v>
      </c>
      <c r="F20" s="5" t="s">
        <v>53</v>
      </c>
      <c r="G20" s="5" t="s">
        <v>44</v>
      </c>
      <c r="H20" s="5" t="s">
        <v>97</v>
      </c>
      <c r="I20" s="5" t="s">
        <v>98</v>
      </c>
      <c r="J20" s="5" t="s">
        <v>99</v>
      </c>
    </row>
    <row r="21" customFormat="false" ht="45.75" hidden="false" customHeight="true" outlineLevel="0" collapsed="false">
      <c r="A21" s="5" t="n">
        <v>17</v>
      </c>
      <c r="B21" s="5" t="s">
        <v>100</v>
      </c>
      <c r="C21" s="5" t="s">
        <v>101</v>
      </c>
      <c r="D21" s="5" t="s">
        <v>28</v>
      </c>
      <c r="E21" s="5" t="s">
        <v>59</v>
      </c>
      <c r="F21" s="5" t="s">
        <v>53</v>
      </c>
      <c r="G21" s="5" t="s">
        <v>44</v>
      </c>
      <c r="H21" s="5" t="s">
        <v>76</v>
      </c>
      <c r="I21" s="5" t="s">
        <v>102</v>
      </c>
      <c r="J21" s="5" t="s">
        <v>103</v>
      </c>
    </row>
    <row r="22" customFormat="false" ht="45.75" hidden="false" customHeight="true" outlineLevel="0" collapsed="false">
      <c r="A22" s="6" t="n">
        <v>18</v>
      </c>
      <c r="B22" s="6" t="s">
        <v>104</v>
      </c>
      <c r="C22" s="6" t="s">
        <v>105</v>
      </c>
      <c r="D22" s="6" t="s">
        <v>14</v>
      </c>
      <c r="E22" s="6" t="s">
        <v>106</v>
      </c>
      <c r="F22" s="6" t="s">
        <v>87</v>
      </c>
      <c r="G22" s="6" t="s">
        <v>107</v>
      </c>
      <c r="H22" s="6" t="s">
        <v>60</v>
      </c>
      <c r="I22" s="6" t="s">
        <v>108</v>
      </c>
      <c r="J22" s="6" t="s">
        <v>109</v>
      </c>
    </row>
    <row r="23" customFormat="false" ht="45.75" hidden="false" customHeight="true" outlineLevel="0" collapsed="false">
      <c r="A23" s="5" t="n">
        <v>19</v>
      </c>
      <c r="B23" s="5" t="s">
        <v>110</v>
      </c>
      <c r="C23" s="5" t="s">
        <v>111</v>
      </c>
      <c r="D23" s="5" t="s">
        <v>23</v>
      </c>
      <c r="E23" s="5" t="s">
        <v>15</v>
      </c>
      <c r="F23" s="5" t="s">
        <v>53</v>
      </c>
      <c r="G23" s="5" t="s">
        <v>107</v>
      </c>
      <c r="H23" s="5" t="s">
        <v>112</v>
      </c>
      <c r="I23" s="5" t="s">
        <v>113</v>
      </c>
      <c r="J23" s="5" t="s">
        <v>114</v>
      </c>
    </row>
    <row r="24" customFormat="false" ht="45.75" hidden="false" customHeight="true" outlineLevel="0" collapsed="false">
      <c r="A24" s="6" t="n">
        <v>20</v>
      </c>
      <c r="B24" s="6" t="s">
        <v>115</v>
      </c>
      <c r="C24" s="6" t="s">
        <v>116</v>
      </c>
      <c r="D24" s="6" t="s">
        <v>14</v>
      </c>
      <c r="E24" s="6" t="s">
        <v>117</v>
      </c>
      <c r="F24" s="6" t="s">
        <v>87</v>
      </c>
      <c r="G24" s="6" t="s">
        <v>107</v>
      </c>
      <c r="H24" s="6" t="s">
        <v>60</v>
      </c>
      <c r="I24" s="6" t="s">
        <v>118</v>
      </c>
      <c r="J24" s="6" t="s">
        <v>119</v>
      </c>
    </row>
    <row r="25" customFormat="false" ht="45.75" hidden="false" customHeight="true" outlineLevel="0" collapsed="false">
      <c r="A25" s="6" t="n">
        <v>21</v>
      </c>
      <c r="B25" s="6" t="s">
        <v>120</v>
      </c>
      <c r="C25" s="6" t="s">
        <v>121</v>
      </c>
      <c r="D25" s="6" t="s">
        <v>14</v>
      </c>
      <c r="E25" s="6" t="s">
        <v>122</v>
      </c>
      <c r="F25" s="6" t="s">
        <v>87</v>
      </c>
      <c r="G25" s="6" t="s">
        <v>107</v>
      </c>
      <c r="H25" s="6" t="s">
        <v>60</v>
      </c>
      <c r="I25" s="6" t="s">
        <v>123</v>
      </c>
      <c r="J25" s="6" t="s">
        <v>124</v>
      </c>
    </row>
    <row r="26" customFormat="false" ht="45.75" hidden="false" customHeight="true" outlineLevel="0" collapsed="false">
      <c r="A26" s="5" t="n">
        <v>22</v>
      </c>
      <c r="B26" s="5" t="s">
        <v>125</v>
      </c>
      <c r="C26" s="5" t="s">
        <v>126</v>
      </c>
      <c r="D26" s="5" t="s">
        <v>28</v>
      </c>
      <c r="E26" s="5" t="s">
        <v>106</v>
      </c>
      <c r="F26" s="5" t="s">
        <v>53</v>
      </c>
      <c r="G26" s="5" t="s">
        <v>107</v>
      </c>
      <c r="H26" s="5" t="s">
        <v>54</v>
      </c>
      <c r="I26" s="5" t="s">
        <v>127</v>
      </c>
      <c r="J26" s="5" t="s">
        <v>128</v>
      </c>
    </row>
    <row r="27" customFormat="false" ht="45.75" hidden="false" customHeight="true" outlineLevel="0" collapsed="false">
      <c r="A27" s="6" t="n">
        <v>23</v>
      </c>
      <c r="B27" s="6" t="s">
        <v>129</v>
      </c>
      <c r="C27" s="6" t="s">
        <v>130</v>
      </c>
      <c r="D27" s="6" t="s">
        <v>14</v>
      </c>
      <c r="E27" s="6" t="s">
        <v>106</v>
      </c>
      <c r="F27" s="6" t="s">
        <v>87</v>
      </c>
      <c r="G27" s="6" t="s">
        <v>107</v>
      </c>
      <c r="H27" s="6" t="s">
        <v>60</v>
      </c>
      <c r="I27" s="6" t="s">
        <v>131</v>
      </c>
      <c r="J27" s="6" t="s">
        <v>132</v>
      </c>
    </row>
    <row r="28" customFormat="false" ht="45.75" hidden="false" customHeight="true" outlineLevel="0" collapsed="false">
      <c r="A28" s="6" t="n">
        <v>24</v>
      </c>
      <c r="B28" s="6" t="s">
        <v>133</v>
      </c>
      <c r="C28" s="6" t="s">
        <v>134</v>
      </c>
      <c r="D28" s="6" t="s">
        <v>14</v>
      </c>
      <c r="E28" s="6" t="s">
        <v>135</v>
      </c>
      <c r="F28" s="6" t="s">
        <v>87</v>
      </c>
      <c r="G28" s="6" t="s">
        <v>107</v>
      </c>
      <c r="H28" s="6" t="s">
        <v>136</v>
      </c>
      <c r="I28" s="6" t="s">
        <v>137</v>
      </c>
      <c r="J28" s="6" t="s">
        <v>138</v>
      </c>
    </row>
    <row r="29" customFormat="false" ht="45.75" hidden="false" customHeight="true" outlineLevel="0" collapsed="false">
      <c r="A29" s="6" t="n">
        <v>25</v>
      </c>
      <c r="B29" s="6" t="s">
        <v>139</v>
      </c>
      <c r="C29" s="6" t="s">
        <v>140</v>
      </c>
      <c r="D29" s="6" t="s">
        <v>14</v>
      </c>
      <c r="E29" s="6" t="s">
        <v>141</v>
      </c>
      <c r="F29" s="6" t="s">
        <v>87</v>
      </c>
      <c r="G29" s="6" t="s">
        <v>107</v>
      </c>
      <c r="H29" s="6" t="s">
        <v>60</v>
      </c>
      <c r="I29" s="6" t="s">
        <v>142</v>
      </c>
      <c r="J29" s="6" t="s">
        <v>143</v>
      </c>
    </row>
    <row r="30" customFormat="false" ht="45.75" hidden="false" customHeight="true" outlineLevel="0" collapsed="false">
      <c r="A30" s="5" t="n">
        <v>26</v>
      </c>
      <c r="B30" s="5" t="s">
        <v>144</v>
      </c>
      <c r="C30" s="5" t="s">
        <v>145</v>
      </c>
      <c r="D30" s="5" t="s">
        <v>23</v>
      </c>
      <c r="E30" s="5" t="s">
        <v>15</v>
      </c>
      <c r="F30" s="5" t="s">
        <v>53</v>
      </c>
      <c r="G30" s="5" t="s">
        <v>107</v>
      </c>
      <c r="H30" s="5" t="s">
        <v>146</v>
      </c>
      <c r="I30" s="5" t="s">
        <v>147</v>
      </c>
      <c r="J30" s="5" t="s">
        <v>148</v>
      </c>
    </row>
    <row r="31" customFormat="false" ht="45.75" hidden="false" customHeight="true" outlineLevel="0" collapsed="false">
      <c r="A31" s="6" t="n">
        <v>27</v>
      </c>
      <c r="B31" s="6" t="s">
        <v>149</v>
      </c>
      <c r="C31" s="6" t="s">
        <v>150</v>
      </c>
      <c r="D31" s="6" t="s">
        <v>14</v>
      </c>
      <c r="E31" s="6" t="s">
        <v>86</v>
      </c>
      <c r="F31" s="6" t="s">
        <v>87</v>
      </c>
      <c r="G31" s="6" t="s">
        <v>107</v>
      </c>
      <c r="H31" s="6" t="s">
        <v>65</v>
      </c>
      <c r="I31" s="6" t="s">
        <v>151</v>
      </c>
      <c r="J31" s="6" t="s">
        <v>152</v>
      </c>
    </row>
    <row r="32" customFormat="false" ht="45.75" hidden="false" customHeight="true" outlineLevel="0" collapsed="false">
      <c r="A32" s="6" t="n">
        <v>28</v>
      </c>
      <c r="B32" s="6" t="s">
        <v>153</v>
      </c>
      <c r="C32" s="6" t="s">
        <v>154</v>
      </c>
      <c r="D32" s="6" t="s">
        <v>14</v>
      </c>
      <c r="E32" s="6" t="s">
        <v>155</v>
      </c>
      <c r="F32" s="6" t="s">
        <v>87</v>
      </c>
      <c r="G32" s="6" t="s">
        <v>107</v>
      </c>
      <c r="H32" s="6" t="s">
        <v>156</v>
      </c>
      <c r="I32" s="6" t="s">
        <v>157</v>
      </c>
      <c r="J32" s="6" t="s">
        <v>158</v>
      </c>
    </row>
    <row r="33" customFormat="false" ht="45.75" hidden="false" customHeight="true" outlineLevel="0" collapsed="false">
      <c r="A33" s="6" t="n">
        <v>29</v>
      </c>
      <c r="B33" s="6" t="s">
        <v>159</v>
      </c>
      <c r="C33" s="6" t="s">
        <v>160</v>
      </c>
      <c r="D33" s="6" t="s">
        <v>28</v>
      </c>
      <c r="E33" s="6" t="s">
        <v>86</v>
      </c>
      <c r="F33" s="6" t="s">
        <v>87</v>
      </c>
      <c r="G33" s="6" t="s">
        <v>44</v>
      </c>
      <c r="H33" s="6" t="s">
        <v>54</v>
      </c>
      <c r="I33" s="6" t="s">
        <v>161</v>
      </c>
      <c r="J33" s="6" t="s">
        <v>162</v>
      </c>
    </row>
    <row r="34" customFormat="false" ht="45.75" hidden="false" customHeight="true" outlineLevel="0" collapsed="false">
      <c r="A34" s="5" t="n">
        <v>30</v>
      </c>
      <c r="B34" s="5" t="s">
        <v>163</v>
      </c>
      <c r="C34" s="5" t="s">
        <v>164</v>
      </c>
      <c r="D34" s="5" t="s">
        <v>165</v>
      </c>
      <c r="E34" s="5" t="s">
        <v>15</v>
      </c>
      <c r="F34" s="5" t="s">
        <v>53</v>
      </c>
      <c r="G34" s="5" t="s">
        <v>166</v>
      </c>
      <c r="H34" s="5" t="s">
        <v>97</v>
      </c>
      <c r="I34" s="5" t="s">
        <v>167</v>
      </c>
      <c r="J34" s="5" t="s">
        <v>168</v>
      </c>
    </row>
    <row r="35" customFormat="false" ht="45.75" hidden="false" customHeight="true" outlineLevel="0" collapsed="false">
      <c r="A35" s="5" t="n">
        <v>31</v>
      </c>
      <c r="B35" s="5" t="s">
        <v>169</v>
      </c>
      <c r="C35" s="5" t="s">
        <v>170</v>
      </c>
      <c r="D35" s="5" t="s">
        <v>43</v>
      </c>
      <c r="E35" s="5" t="s">
        <v>171</v>
      </c>
      <c r="F35" s="5" t="s">
        <v>53</v>
      </c>
      <c r="G35" s="5" t="s">
        <v>166</v>
      </c>
      <c r="H35" s="5" t="s">
        <v>97</v>
      </c>
      <c r="I35" s="5" t="s">
        <v>172</v>
      </c>
      <c r="J35" s="5" t="s">
        <v>173</v>
      </c>
    </row>
    <row r="36" customFormat="false" ht="45.75" hidden="false" customHeight="true" outlineLevel="0" collapsed="false">
      <c r="A36" s="5" t="n">
        <v>32</v>
      </c>
      <c r="B36" s="5" t="s">
        <v>174</v>
      </c>
      <c r="C36" s="5" t="s">
        <v>175</v>
      </c>
      <c r="D36" s="5" t="s">
        <v>28</v>
      </c>
      <c r="E36" s="5" t="s">
        <v>106</v>
      </c>
      <c r="F36" s="5" t="s">
        <v>53</v>
      </c>
      <c r="G36" s="5" t="s">
        <v>166</v>
      </c>
      <c r="H36" s="5" t="s">
        <v>176</v>
      </c>
      <c r="I36" s="5" t="s">
        <v>177</v>
      </c>
      <c r="J36" s="5" t="s">
        <v>178</v>
      </c>
    </row>
    <row r="37" customFormat="false" ht="45.75" hidden="false" customHeight="true" outlineLevel="0" collapsed="false">
      <c r="A37" s="6" t="n">
        <v>33</v>
      </c>
      <c r="B37" s="6" t="s">
        <v>179</v>
      </c>
      <c r="C37" s="6" t="s">
        <v>180</v>
      </c>
      <c r="D37" s="6" t="s">
        <v>28</v>
      </c>
      <c r="E37" s="6" t="s">
        <v>181</v>
      </c>
      <c r="F37" s="6" t="s">
        <v>87</v>
      </c>
      <c r="G37" s="6" t="s">
        <v>166</v>
      </c>
      <c r="H37" s="6" t="s">
        <v>60</v>
      </c>
      <c r="I37" s="6" t="s">
        <v>182</v>
      </c>
      <c r="J37" s="6" t="s">
        <v>183</v>
      </c>
    </row>
    <row r="38" customFormat="false" ht="45.75" hidden="false" customHeight="true" outlineLevel="0" collapsed="false">
      <c r="A38" s="5" t="n">
        <v>34</v>
      </c>
      <c r="B38" s="5" t="s">
        <v>184</v>
      </c>
      <c r="C38" s="5" t="s">
        <v>185</v>
      </c>
      <c r="D38" s="5" t="s">
        <v>23</v>
      </c>
      <c r="E38" s="5" t="s">
        <v>15</v>
      </c>
      <c r="F38" s="5" t="s">
        <v>53</v>
      </c>
      <c r="G38" s="5" t="s">
        <v>166</v>
      </c>
      <c r="H38" s="5" t="s">
        <v>112</v>
      </c>
      <c r="I38" s="5" t="s">
        <v>186</v>
      </c>
      <c r="J38" s="5" t="s">
        <v>187</v>
      </c>
    </row>
    <row r="39" customFormat="false" ht="45.75" hidden="false" customHeight="true" outlineLevel="0" collapsed="false">
      <c r="A39" s="5" t="n">
        <v>35</v>
      </c>
      <c r="B39" s="5" t="s">
        <v>188</v>
      </c>
      <c r="C39" s="5" t="s">
        <v>189</v>
      </c>
      <c r="D39" s="5" t="s">
        <v>28</v>
      </c>
      <c r="E39" s="5" t="s">
        <v>15</v>
      </c>
      <c r="F39" s="5" t="s">
        <v>53</v>
      </c>
      <c r="G39" s="5" t="s">
        <v>166</v>
      </c>
      <c r="H39" s="5" t="s">
        <v>60</v>
      </c>
      <c r="I39" s="5" t="s">
        <v>190</v>
      </c>
      <c r="J39" s="5" t="s">
        <v>191</v>
      </c>
    </row>
    <row r="40" customFormat="false" ht="45.75" hidden="false" customHeight="true" outlineLevel="0" collapsed="false">
      <c r="A40" s="4" t="n">
        <v>36</v>
      </c>
      <c r="B40" s="4" t="s">
        <v>192</v>
      </c>
      <c r="C40" s="4" t="s">
        <v>193</v>
      </c>
      <c r="D40" s="4" t="s">
        <v>165</v>
      </c>
      <c r="E40" s="4" t="s">
        <v>15</v>
      </c>
      <c r="F40" s="4" t="s">
        <v>16</v>
      </c>
      <c r="G40" s="4" t="s">
        <v>166</v>
      </c>
      <c r="H40" s="4" t="s">
        <v>15</v>
      </c>
      <c r="I40" s="4" t="s">
        <v>194</v>
      </c>
      <c r="J40" s="4" t="s">
        <v>195</v>
      </c>
    </row>
    <row r="41" customFormat="false" ht="45.75" hidden="false" customHeight="true" outlineLevel="0" collapsed="false">
      <c r="A41" s="5" t="n">
        <v>37</v>
      </c>
      <c r="B41" s="5" t="s">
        <v>196</v>
      </c>
      <c r="C41" s="5" t="s">
        <v>197</v>
      </c>
      <c r="D41" s="5" t="s">
        <v>14</v>
      </c>
      <c r="E41" s="5" t="s">
        <v>15</v>
      </c>
      <c r="F41" s="5" t="s">
        <v>53</v>
      </c>
      <c r="G41" s="5" t="s">
        <v>17</v>
      </c>
      <c r="H41" s="5" t="s">
        <v>60</v>
      </c>
      <c r="I41" s="5" t="s">
        <v>198</v>
      </c>
      <c r="J41" s="5" t="s">
        <v>199</v>
      </c>
    </row>
    <row r="42" customFormat="false" ht="45.75" hidden="false" customHeight="true" outlineLevel="0" collapsed="false">
      <c r="A42" s="5" t="n">
        <v>38</v>
      </c>
      <c r="B42" s="5" t="s">
        <v>200</v>
      </c>
      <c r="C42" s="5" t="s">
        <v>201</v>
      </c>
      <c r="D42" s="5" t="s">
        <v>14</v>
      </c>
      <c r="E42" s="5" t="s">
        <v>15</v>
      </c>
      <c r="F42" s="5" t="s">
        <v>53</v>
      </c>
      <c r="G42" s="5" t="s">
        <v>44</v>
      </c>
      <c r="H42" s="5" t="s">
        <v>65</v>
      </c>
      <c r="I42" s="5" t="s">
        <v>202</v>
      </c>
      <c r="J42" s="5" t="s">
        <v>203</v>
      </c>
    </row>
    <row r="44" customFormat="false" ht="15" hidden="false" customHeight="false" outlineLevel="0" collapsed="false">
      <c r="B44" s="7" t="s">
        <v>204</v>
      </c>
    </row>
    <row r="45" customFormat="false" ht="15" hidden="false" customHeight="false" outlineLevel="0" collapsed="false">
      <c r="B45" s="8" t="s">
        <v>205</v>
      </c>
      <c r="C45" s="9" t="n">
        <f aca="false">COUNTIF(F5:F42,"CONCLUIDO")</f>
        <v>10</v>
      </c>
    </row>
    <row r="46" customFormat="false" ht="15" hidden="false" customHeight="false" outlineLevel="0" collapsed="false">
      <c r="B46" s="8" t="s">
        <v>206</v>
      </c>
      <c r="C46" s="9" t="n">
        <f aca="false">COUNTIF(F5:F42,"A FAZER")</f>
        <v>17</v>
      </c>
    </row>
    <row r="47" customFormat="false" ht="15" hidden="false" customHeight="false" outlineLevel="0" collapsed="false">
      <c r="B47" s="8" t="s">
        <v>207</v>
      </c>
      <c r="C47" s="9" t="n">
        <f aca="false">COUNTIF(F5:F42,"AGUARDANDO")</f>
        <v>11</v>
      </c>
    </row>
    <row r="48" customFormat="false" ht="15" hidden="false" customHeight="false" outlineLevel="0" collapsed="false">
      <c r="B48" s="8" t="s">
        <v>208</v>
      </c>
      <c r="C48" s="9" t="n">
        <f aca="false">COUNTA(A5:A42)</f>
        <v>38</v>
      </c>
    </row>
  </sheetData>
  <autoFilter ref="A4:J42"/>
  <mergeCells count="2">
    <mergeCell ref="A1:J1"/>
    <mergeCell ref="A2:J2"/>
  </mergeCells>
  <dataValidations count="2">
    <dataValidation allowBlank="true" errorStyle="stop" operator="between" showDropDown="false" showErrorMessage="false" showInputMessage="false" sqref="F5:F42" type="list">
      <formula1>"A FAZER,EM CURSO,AGUARDANDO,CONCLUIDO,CANCELADO"</formula1>
      <formula2>0</formula2>
    </dataValidation>
    <dataValidation allowBlank="true" errorStyle="stop" operator="between" showDropDown="false" showErrorMessage="false" showInputMessage="false" sqref="G5:G42" type="list">
      <formula1>"P0 critico,P1 alto,P2 medio,P3 baixo"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1" style="0" width="22"/>
    <col collapsed="false" customWidth="true" hidden="false" outlineLevel="0" max="3" min="3" style="0" width="46"/>
    <col collapsed="false" customWidth="true" hidden="false" outlineLevel="0" max="4" min="4" style="0" width="40"/>
    <col collapsed="false" customWidth="true" hidden="false" outlineLevel="0" max="5" min="5" style="0" width="46"/>
  </cols>
  <sheetData>
    <row r="1" customFormat="false" ht="30" hidden="false" customHeight="true" outlineLevel="0" collapsed="false">
      <c r="A1" s="1" t="s">
        <v>209</v>
      </c>
      <c r="B1" s="1"/>
      <c r="C1" s="1"/>
      <c r="D1" s="1"/>
      <c r="E1" s="1"/>
    </row>
    <row r="2" customFormat="false" ht="18" hidden="false" customHeight="true" outlineLevel="0" collapsed="false">
      <c r="A2" s="2" t="s">
        <v>210</v>
      </c>
      <c r="B2" s="2"/>
      <c r="C2" s="2"/>
      <c r="D2" s="2"/>
      <c r="E2" s="2"/>
    </row>
    <row r="4" customFormat="false" ht="30" hidden="false" customHeight="true" outlineLevel="0" collapsed="false">
      <c r="A4" s="3" t="s">
        <v>211</v>
      </c>
      <c r="B4" s="3" t="s">
        <v>212</v>
      </c>
      <c r="C4" s="3" t="s">
        <v>213</v>
      </c>
      <c r="D4" s="3" t="s">
        <v>214</v>
      </c>
      <c r="E4" s="3" t="s">
        <v>215</v>
      </c>
    </row>
    <row r="5" customFormat="false" ht="57.75" hidden="false" customHeight="true" outlineLevel="0" collapsed="false">
      <c r="A5" s="5" t="s">
        <v>23</v>
      </c>
      <c r="B5" s="5" t="s">
        <v>216</v>
      </c>
      <c r="C5" s="5" t="s">
        <v>217</v>
      </c>
      <c r="D5" s="5" t="s">
        <v>218</v>
      </c>
      <c r="E5" s="5" t="s">
        <v>219</v>
      </c>
    </row>
    <row r="6" customFormat="false" ht="57.75" hidden="false" customHeight="true" outlineLevel="0" collapsed="false">
      <c r="A6" s="10" t="s">
        <v>28</v>
      </c>
      <c r="B6" s="10" t="s">
        <v>220</v>
      </c>
      <c r="C6" s="10" t="s">
        <v>221</v>
      </c>
      <c r="D6" s="10" t="s">
        <v>222</v>
      </c>
      <c r="E6" s="10" t="s">
        <v>223</v>
      </c>
    </row>
    <row r="7" customFormat="false" ht="57.75" hidden="false" customHeight="true" outlineLevel="0" collapsed="false">
      <c r="A7" s="5" t="s">
        <v>224</v>
      </c>
      <c r="B7" s="5" t="s">
        <v>225</v>
      </c>
      <c r="C7" s="5" t="s">
        <v>226</v>
      </c>
      <c r="D7" s="5" t="s">
        <v>227</v>
      </c>
      <c r="E7" s="5" t="s">
        <v>228</v>
      </c>
    </row>
    <row r="8" customFormat="false" ht="57.75" hidden="false" customHeight="true" outlineLevel="0" collapsed="false">
      <c r="A8" s="10" t="s">
        <v>43</v>
      </c>
      <c r="B8" s="10" t="s">
        <v>229</v>
      </c>
      <c r="C8" s="10" t="s">
        <v>230</v>
      </c>
      <c r="D8" s="10" t="s">
        <v>231</v>
      </c>
      <c r="E8" s="10" t="s">
        <v>232</v>
      </c>
    </row>
    <row r="9" customFormat="false" ht="57.75" hidden="false" customHeight="true" outlineLevel="0" collapsed="false">
      <c r="A9" s="5" t="s">
        <v>165</v>
      </c>
      <c r="B9" s="5" t="s">
        <v>233</v>
      </c>
      <c r="C9" s="5" t="s">
        <v>234</v>
      </c>
      <c r="D9" s="5" t="s">
        <v>235</v>
      </c>
      <c r="E9" s="5" t="s">
        <v>236</v>
      </c>
    </row>
    <row r="12" customFormat="false" ht="15" hidden="false" customHeight="false" outlineLevel="0" collapsed="false">
      <c r="A12" s="7" t="s">
        <v>237</v>
      </c>
    </row>
    <row r="13" customFormat="false" ht="25.5" hidden="false" customHeight="true" outlineLevel="0" collapsed="false">
      <c r="A13" s="11" t="s">
        <v>238</v>
      </c>
      <c r="B13" s="11"/>
      <c r="C13" s="11"/>
      <c r="D13" s="11"/>
      <c r="E13" s="11"/>
    </row>
    <row r="14" customFormat="false" ht="25.5" hidden="false" customHeight="true" outlineLevel="0" collapsed="false">
      <c r="A14" s="11" t="s">
        <v>239</v>
      </c>
      <c r="B14" s="11"/>
      <c r="C14" s="11"/>
      <c r="D14" s="11"/>
      <c r="E14" s="11"/>
    </row>
    <row r="15" customFormat="false" ht="25.5" hidden="false" customHeight="true" outlineLevel="0" collapsed="false">
      <c r="A15" s="11" t="s">
        <v>240</v>
      </c>
      <c r="B15" s="11"/>
      <c r="C15" s="11"/>
      <c r="D15" s="11"/>
      <c r="E15" s="11"/>
    </row>
    <row r="16" customFormat="false" ht="25.5" hidden="false" customHeight="true" outlineLevel="0" collapsed="false">
      <c r="A16" s="11" t="s">
        <v>241</v>
      </c>
      <c r="B16" s="11"/>
      <c r="C16" s="11"/>
      <c r="D16" s="11"/>
      <c r="E16" s="11"/>
    </row>
    <row r="17" customFormat="false" ht="25.5" hidden="false" customHeight="true" outlineLevel="0" collapsed="false">
      <c r="A17" s="11" t="s">
        <v>242</v>
      </c>
      <c r="B17" s="11"/>
      <c r="C17" s="11"/>
      <c r="D17" s="11"/>
      <c r="E17" s="11"/>
    </row>
  </sheetData>
  <mergeCells count="7">
    <mergeCell ref="A1:E1"/>
    <mergeCell ref="A2:E2"/>
    <mergeCell ref="A13:E13"/>
    <mergeCell ref="A14:E14"/>
    <mergeCell ref="A15:E15"/>
    <mergeCell ref="A16:E16"/>
    <mergeCell ref="A17:E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0"/>
    <col collapsed="false" customWidth="true" hidden="false" outlineLevel="0" max="3" min="3" style="0" width="52"/>
    <col collapsed="false" customWidth="true" hidden="false" outlineLevel="0" max="4" min="4" style="0" width="14"/>
    <col collapsed="false" customWidth="true" hidden="false" outlineLevel="0" max="5" min="5" style="0" width="34"/>
  </cols>
  <sheetData>
    <row r="1" customFormat="false" ht="30" hidden="false" customHeight="true" outlineLevel="0" collapsed="false">
      <c r="A1" s="1" t="s">
        <v>243</v>
      </c>
      <c r="B1" s="1"/>
      <c r="C1" s="1"/>
      <c r="D1" s="1"/>
      <c r="E1" s="1"/>
    </row>
    <row r="2" customFormat="false" ht="18" hidden="false" customHeight="true" outlineLevel="0" collapsed="false">
      <c r="A2" s="2" t="s">
        <v>244</v>
      </c>
      <c r="B2" s="2"/>
      <c r="C2" s="2"/>
      <c r="D2" s="2"/>
      <c r="E2" s="2"/>
    </row>
    <row r="4" customFormat="false" ht="30" hidden="false" customHeight="true" outlineLevel="0" collapsed="false">
      <c r="A4" s="3" t="s">
        <v>2</v>
      </c>
      <c r="B4" s="3" t="s">
        <v>245</v>
      </c>
      <c r="C4" s="3" t="s">
        <v>246</v>
      </c>
      <c r="D4" s="3" t="s">
        <v>247</v>
      </c>
      <c r="E4" s="3" t="s">
        <v>248</v>
      </c>
    </row>
    <row r="5" customFormat="false" ht="43.5" hidden="false" customHeight="true" outlineLevel="0" collapsed="false">
      <c r="A5" s="5" t="n">
        <v>1</v>
      </c>
      <c r="B5" s="5" t="s">
        <v>249</v>
      </c>
      <c r="C5" s="5" t="s">
        <v>250</v>
      </c>
      <c r="D5" s="5" t="s">
        <v>251</v>
      </c>
      <c r="E5" s="12"/>
    </row>
    <row r="6" customFormat="false" ht="43.5" hidden="false" customHeight="true" outlineLevel="0" collapsed="false">
      <c r="A6" s="5" t="n">
        <v>2</v>
      </c>
      <c r="B6" s="5" t="s">
        <v>252</v>
      </c>
      <c r="C6" s="5" t="s">
        <v>253</v>
      </c>
      <c r="D6" s="5" t="s">
        <v>254</v>
      </c>
      <c r="E6" s="12"/>
    </row>
    <row r="7" customFormat="false" ht="43.5" hidden="false" customHeight="true" outlineLevel="0" collapsed="false">
      <c r="A7" s="5" t="n">
        <v>3</v>
      </c>
      <c r="B7" s="5" t="s">
        <v>255</v>
      </c>
      <c r="C7" s="5" t="s">
        <v>256</v>
      </c>
      <c r="D7" s="5" t="s">
        <v>122</v>
      </c>
      <c r="E7" s="12"/>
    </row>
    <row r="8" customFormat="false" ht="43.5" hidden="false" customHeight="true" outlineLevel="0" collapsed="false">
      <c r="A8" s="5" t="n">
        <v>4</v>
      </c>
      <c r="B8" s="5" t="s">
        <v>257</v>
      </c>
      <c r="C8" s="5" t="s">
        <v>258</v>
      </c>
      <c r="D8" s="5" t="s">
        <v>122</v>
      </c>
      <c r="E8" s="12"/>
    </row>
    <row r="9" customFormat="false" ht="43.5" hidden="false" customHeight="true" outlineLevel="0" collapsed="false">
      <c r="A9" s="5" t="n">
        <v>5</v>
      </c>
      <c r="B9" s="5" t="s">
        <v>259</v>
      </c>
      <c r="C9" s="5" t="s">
        <v>260</v>
      </c>
      <c r="D9" s="5" t="s">
        <v>261</v>
      </c>
      <c r="E9" s="12"/>
    </row>
    <row r="10" customFormat="false" ht="43.5" hidden="false" customHeight="true" outlineLevel="0" collapsed="false">
      <c r="A10" s="5" t="n">
        <v>6</v>
      </c>
      <c r="B10" s="5" t="s">
        <v>262</v>
      </c>
      <c r="C10" s="5" t="s">
        <v>263</v>
      </c>
      <c r="D10" s="5" t="s">
        <v>264</v>
      </c>
      <c r="E10" s="12"/>
    </row>
    <row r="11" customFormat="false" ht="43.5" hidden="false" customHeight="true" outlineLevel="0" collapsed="false">
      <c r="A11" s="5" t="n">
        <v>7</v>
      </c>
      <c r="B11" s="5" t="s">
        <v>265</v>
      </c>
      <c r="C11" s="5" t="s">
        <v>266</v>
      </c>
      <c r="D11" s="5" t="s">
        <v>267</v>
      </c>
      <c r="E11" s="12"/>
    </row>
    <row r="12" customFormat="false" ht="43.5" hidden="false" customHeight="true" outlineLevel="0" collapsed="false">
      <c r="A12" s="5" t="n">
        <v>8</v>
      </c>
      <c r="B12" s="5" t="s">
        <v>268</v>
      </c>
      <c r="C12" s="5" t="s">
        <v>269</v>
      </c>
      <c r="D12" s="5" t="s">
        <v>270</v>
      </c>
      <c r="E12" s="12"/>
    </row>
    <row r="13" customFormat="false" ht="43.5" hidden="false" customHeight="true" outlineLevel="0" collapsed="false">
      <c r="A13" s="5" t="n">
        <v>9</v>
      </c>
      <c r="B13" s="5" t="s">
        <v>271</v>
      </c>
      <c r="C13" s="5" t="s">
        <v>272</v>
      </c>
      <c r="D13" s="5" t="s">
        <v>251</v>
      </c>
      <c r="E13" s="12"/>
    </row>
    <row r="14" customFormat="false" ht="43.5" hidden="false" customHeight="true" outlineLevel="0" collapsed="false">
      <c r="A14" s="5" t="n">
        <v>10</v>
      </c>
      <c r="B14" s="5" t="s">
        <v>273</v>
      </c>
      <c r="C14" s="5" t="s">
        <v>274</v>
      </c>
      <c r="D14" s="5" t="s">
        <v>251</v>
      </c>
      <c r="E14" s="12"/>
    </row>
    <row r="17" customFormat="false" ht="15" hidden="false" customHeight="false" outlineLevel="0" collapsed="false">
      <c r="B17" s="13" t="s">
        <v>275</v>
      </c>
    </row>
    <row r="18" customFormat="false" ht="15" hidden="false" customHeight="false" outlineLevel="0" collapsed="false">
      <c r="A18" s="5" t="s">
        <v>276</v>
      </c>
      <c r="B18" s="5" t="s">
        <v>277</v>
      </c>
      <c r="C18" s="5" t="s">
        <v>15</v>
      </c>
      <c r="D18" s="5" t="s">
        <v>251</v>
      </c>
      <c r="E18" s="12" t="s">
        <v>278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00"/>
  </cols>
  <sheetData>
    <row r="1" customFormat="false" ht="30" hidden="false" customHeight="true" outlineLevel="0" collapsed="false">
      <c r="A1" s="1" t="s">
        <v>279</v>
      </c>
      <c r="B1" s="1"/>
    </row>
    <row r="2" customFormat="false" ht="18" hidden="false" customHeight="true" outlineLevel="0" collapsed="false">
      <c r="A2" s="2" t="s">
        <v>280</v>
      </c>
      <c r="B2" s="2"/>
    </row>
    <row r="4" customFormat="false" ht="39.75" hidden="false" customHeight="true" outlineLevel="0" collapsed="false">
      <c r="A4" s="14" t="s">
        <v>281</v>
      </c>
      <c r="B4" s="15" t="s">
        <v>282</v>
      </c>
    </row>
    <row r="6" customFormat="false" ht="39.75" hidden="false" customHeight="true" outlineLevel="0" collapsed="false">
      <c r="A6" s="14" t="s">
        <v>283</v>
      </c>
      <c r="B6" s="15" t="s">
        <v>284</v>
      </c>
    </row>
    <row r="8" customFormat="false" ht="39.75" hidden="false" customHeight="true" outlineLevel="0" collapsed="false">
      <c r="A8" s="14" t="s">
        <v>285</v>
      </c>
      <c r="B8" s="15" t="s">
        <v>286</v>
      </c>
    </row>
    <row r="10" customFormat="false" ht="39.75" hidden="false" customHeight="true" outlineLevel="0" collapsed="false">
      <c r="A10" s="14" t="s">
        <v>287</v>
      </c>
      <c r="B10" s="15" t="s">
        <v>288</v>
      </c>
    </row>
    <row r="12" customFormat="false" ht="39.75" hidden="false" customHeight="true" outlineLevel="0" collapsed="false">
      <c r="A12" s="14" t="s">
        <v>289</v>
      </c>
      <c r="B12" s="15" t="s">
        <v>290</v>
      </c>
    </row>
    <row r="14" customFormat="false" ht="39.75" hidden="false" customHeight="true" outlineLevel="0" collapsed="false">
      <c r="A14" s="14" t="s">
        <v>291</v>
      </c>
      <c r="B14" s="15" t="s">
        <v>292</v>
      </c>
    </row>
    <row r="16" customFormat="false" ht="39.75" hidden="false" customHeight="true" outlineLevel="0" collapsed="false">
      <c r="A16" s="14" t="s">
        <v>293</v>
      </c>
      <c r="B16" s="15" t="s">
        <v>294</v>
      </c>
    </row>
    <row r="18" customFormat="false" ht="39.75" hidden="false" customHeight="true" outlineLevel="0" collapsed="false">
      <c r="A18" s="14" t="s">
        <v>295</v>
      </c>
      <c r="B18" s="15" t="s">
        <v>296</v>
      </c>
    </row>
  </sheetData>
  <mergeCells count="2">
    <mergeCell ref="A1:B1"/>
    <mergeCell ref="A2: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3" min="2" style="0" width="44"/>
    <col collapsed="false" customWidth="true" hidden="false" outlineLevel="0" max="4" min="4" style="0" width="52"/>
  </cols>
  <sheetData>
    <row r="1" customFormat="false" ht="30" hidden="false" customHeight="true" outlineLevel="0" collapsed="false">
      <c r="A1" s="1" t="s">
        <v>297</v>
      </c>
      <c r="B1" s="1"/>
      <c r="C1" s="1"/>
      <c r="D1" s="1"/>
    </row>
    <row r="2" customFormat="false" ht="18" hidden="false" customHeight="true" outlineLevel="0" collapsed="false">
      <c r="A2" s="2" t="s">
        <v>298</v>
      </c>
      <c r="B2" s="2"/>
      <c r="C2" s="2"/>
      <c r="D2" s="2"/>
    </row>
    <row r="4" customFormat="false" ht="30" hidden="false" customHeight="true" outlineLevel="0" collapsed="false">
      <c r="A4" s="3" t="s">
        <v>299</v>
      </c>
      <c r="B4" s="3" t="s">
        <v>300</v>
      </c>
      <c r="C4" s="3" t="s">
        <v>301</v>
      </c>
      <c r="D4" s="3" t="s">
        <v>302</v>
      </c>
    </row>
    <row r="5" customFormat="false" ht="57.75" hidden="false" customHeight="true" outlineLevel="0" collapsed="false">
      <c r="A5" s="10" t="s">
        <v>303</v>
      </c>
      <c r="B5" s="10" t="s">
        <v>304</v>
      </c>
      <c r="C5" s="10" t="s">
        <v>305</v>
      </c>
      <c r="D5" s="10" t="s">
        <v>306</v>
      </c>
    </row>
    <row r="6" customFormat="false" ht="57.75" hidden="false" customHeight="true" outlineLevel="0" collapsed="false">
      <c r="A6" s="5" t="s">
        <v>307</v>
      </c>
      <c r="B6" s="5" t="s">
        <v>308</v>
      </c>
      <c r="C6" s="5" t="s">
        <v>309</v>
      </c>
      <c r="D6" s="5" t="s">
        <v>310</v>
      </c>
    </row>
    <row r="7" customFormat="false" ht="57.75" hidden="false" customHeight="true" outlineLevel="0" collapsed="false">
      <c r="A7" s="10" t="s">
        <v>311</v>
      </c>
      <c r="B7" s="10" t="s">
        <v>312</v>
      </c>
      <c r="C7" s="10" t="s">
        <v>313</v>
      </c>
      <c r="D7" s="10" t="s">
        <v>314</v>
      </c>
    </row>
    <row r="8" customFormat="false" ht="57.75" hidden="false" customHeight="true" outlineLevel="0" collapsed="false">
      <c r="A8" s="5" t="s">
        <v>315</v>
      </c>
      <c r="B8" s="5" t="s">
        <v>316</v>
      </c>
      <c r="C8" s="5" t="s">
        <v>317</v>
      </c>
      <c r="D8" s="5" t="s">
        <v>318</v>
      </c>
    </row>
    <row r="9" customFormat="false" ht="57.75" hidden="false" customHeight="true" outlineLevel="0" collapsed="false">
      <c r="A9" s="10" t="s">
        <v>319</v>
      </c>
      <c r="B9" s="10" t="s">
        <v>320</v>
      </c>
      <c r="C9" s="10" t="s">
        <v>321</v>
      </c>
      <c r="D9" s="10" t="s">
        <v>322</v>
      </c>
    </row>
    <row r="10" customFormat="false" ht="57.75" hidden="false" customHeight="true" outlineLevel="0" collapsed="false">
      <c r="A10" s="5" t="s">
        <v>323</v>
      </c>
      <c r="B10" s="5" t="s">
        <v>324</v>
      </c>
      <c r="C10" s="5" t="s">
        <v>325</v>
      </c>
      <c r="D10" s="5" t="s">
        <v>326</v>
      </c>
    </row>
    <row r="11" customFormat="false" ht="57.75" hidden="false" customHeight="true" outlineLevel="0" collapsed="false">
      <c r="A11" s="10" t="s">
        <v>327</v>
      </c>
      <c r="B11" s="10" t="s">
        <v>328</v>
      </c>
      <c r="C11" s="10" t="s">
        <v>329</v>
      </c>
      <c r="D11" s="10" t="s">
        <v>330</v>
      </c>
    </row>
    <row r="12" customFormat="false" ht="57.75" hidden="false" customHeight="true" outlineLevel="0" collapsed="false">
      <c r="A12" s="5" t="s">
        <v>331</v>
      </c>
      <c r="B12" s="5" t="s">
        <v>332</v>
      </c>
      <c r="C12" s="5" t="s">
        <v>333</v>
      </c>
      <c r="D12" s="5" t="s">
        <v>334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3"/>
    <col collapsed="false" customWidth="true" hidden="false" outlineLevel="0" max="3" min="3" style="0" width="5"/>
    <col collapsed="false" customWidth="true" hidden="false" outlineLevel="0" max="4" min="4" style="0" width="14"/>
    <col collapsed="false" customWidth="true" hidden="false" outlineLevel="0" max="6" min="5" style="0" width="20"/>
    <col collapsed="false" customWidth="true" hidden="false" outlineLevel="0" max="7" min="7" style="0" width="50"/>
    <col collapsed="false" customWidth="true" hidden="false" outlineLevel="0" max="8" min="8" style="0" width="26"/>
  </cols>
  <sheetData>
    <row r="1" customFormat="false" ht="30" hidden="false" customHeight="true" outlineLevel="0" collapsed="false">
      <c r="A1" s="1" t="s">
        <v>335</v>
      </c>
      <c r="B1" s="1"/>
      <c r="C1" s="1"/>
      <c r="D1" s="1"/>
      <c r="E1" s="1"/>
      <c r="F1" s="1"/>
      <c r="G1" s="1"/>
      <c r="H1" s="1"/>
    </row>
    <row r="2" customFormat="false" ht="18" hidden="false" customHeight="true" outlineLevel="0" collapsed="false">
      <c r="A2" s="2" t="s">
        <v>336</v>
      </c>
      <c r="B2" s="2"/>
      <c r="C2" s="2"/>
      <c r="D2" s="2"/>
      <c r="E2" s="2"/>
      <c r="F2" s="2"/>
      <c r="G2" s="2"/>
      <c r="H2" s="2"/>
    </row>
    <row r="4" customFormat="false" ht="30" hidden="false" customHeight="true" outlineLevel="0" collapsed="false">
      <c r="A4" s="3" t="s">
        <v>337</v>
      </c>
      <c r="B4" s="3" t="s">
        <v>338</v>
      </c>
      <c r="C4" s="3" t="s">
        <v>2</v>
      </c>
      <c r="D4" s="3" t="s">
        <v>339</v>
      </c>
      <c r="E4" s="3" t="s">
        <v>340</v>
      </c>
      <c r="F4" s="3" t="s">
        <v>341</v>
      </c>
      <c r="G4" s="3" t="s">
        <v>342</v>
      </c>
      <c r="H4" s="3" t="s">
        <v>343</v>
      </c>
    </row>
    <row r="5" customFormat="false" ht="45.75" hidden="false" customHeight="true" outlineLevel="0" collapsed="false">
      <c r="A5" s="10" t="s">
        <v>344</v>
      </c>
      <c r="B5" s="10" t="s">
        <v>28</v>
      </c>
      <c r="C5" s="10" t="s">
        <v>15</v>
      </c>
      <c r="D5" s="10" t="s">
        <v>345</v>
      </c>
      <c r="E5" s="10" t="s">
        <v>15</v>
      </c>
      <c r="F5" s="10" t="s">
        <v>346</v>
      </c>
      <c r="G5" s="10" t="s">
        <v>347</v>
      </c>
      <c r="H5" s="10" t="s">
        <v>348</v>
      </c>
    </row>
    <row r="6" customFormat="false" ht="45.75" hidden="false" customHeight="true" outlineLevel="0" collapsed="false">
      <c r="A6" s="5" t="s">
        <v>344</v>
      </c>
      <c r="B6" s="5" t="s">
        <v>28</v>
      </c>
      <c r="C6" s="5" t="s">
        <v>349</v>
      </c>
      <c r="D6" s="5" t="s">
        <v>7</v>
      </c>
      <c r="E6" s="5" t="s">
        <v>87</v>
      </c>
      <c r="F6" s="5" t="s">
        <v>53</v>
      </c>
      <c r="G6" s="5" t="s">
        <v>350</v>
      </c>
      <c r="H6" s="5" t="s">
        <v>351</v>
      </c>
    </row>
    <row r="7" customFormat="false" ht="45.75" hidden="false" customHeight="true" outlineLevel="0" collapsed="false">
      <c r="A7" s="10" t="s">
        <v>344</v>
      </c>
      <c r="B7" s="10" t="s">
        <v>28</v>
      </c>
      <c r="C7" s="10" t="s">
        <v>135</v>
      </c>
      <c r="D7" s="10" t="s">
        <v>7</v>
      </c>
      <c r="E7" s="10" t="s">
        <v>53</v>
      </c>
      <c r="F7" s="10" t="s">
        <v>87</v>
      </c>
      <c r="G7" s="10" t="s">
        <v>352</v>
      </c>
      <c r="H7" s="10" t="s">
        <v>351</v>
      </c>
    </row>
    <row r="8" customFormat="false" ht="45.75" hidden="false" customHeight="true" outlineLevel="0" collapsed="false">
      <c r="A8" s="5" t="s">
        <v>344</v>
      </c>
      <c r="B8" s="5" t="s">
        <v>28</v>
      </c>
      <c r="C8" s="5" t="s">
        <v>353</v>
      </c>
      <c r="D8" s="5" t="s">
        <v>7</v>
      </c>
      <c r="E8" s="5" t="s">
        <v>53</v>
      </c>
      <c r="F8" s="5" t="s">
        <v>87</v>
      </c>
      <c r="G8" s="5" t="s">
        <v>354</v>
      </c>
      <c r="H8" s="5" t="s">
        <v>351</v>
      </c>
    </row>
    <row r="9" customFormat="false" ht="45.75" hidden="false" customHeight="true" outlineLevel="0" collapsed="false">
      <c r="A9" s="10" t="s">
        <v>355</v>
      </c>
      <c r="B9" s="10" t="s">
        <v>14</v>
      </c>
      <c r="C9" s="10" t="s">
        <v>75</v>
      </c>
      <c r="D9" s="10" t="s">
        <v>7</v>
      </c>
      <c r="E9" s="10" t="s">
        <v>53</v>
      </c>
      <c r="F9" s="10" t="s">
        <v>16</v>
      </c>
      <c r="G9" s="10" t="s">
        <v>356</v>
      </c>
      <c r="H9" s="10" t="s">
        <v>357</v>
      </c>
    </row>
    <row r="10" customFormat="false" ht="45.75" hidden="false" customHeight="true" outlineLevel="0" collapsed="false">
      <c r="A10" s="5" t="s">
        <v>355</v>
      </c>
      <c r="B10" s="5" t="s">
        <v>14</v>
      </c>
      <c r="C10" s="5" t="s">
        <v>358</v>
      </c>
      <c r="D10" s="5" t="s">
        <v>7</v>
      </c>
      <c r="E10" s="5" t="s">
        <v>53</v>
      </c>
      <c r="F10" s="5" t="s">
        <v>16</v>
      </c>
      <c r="G10" s="5" t="s">
        <v>359</v>
      </c>
      <c r="H10" s="5" t="s">
        <v>357</v>
      </c>
    </row>
    <row r="11" customFormat="false" ht="45.75" hidden="false" customHeight="true" outlineLevel="0" collapsed="false">
      <c r="A11" s="10" t="s">
        <v>355</v>
      </c>
      <c r="B11" s="10" t="s">
        <v>28</v>
      </c>
      <c r="C11" s="10" t="s">
        <v>360</v>
      </c>
      <c r="D11" s="10" t="s">
        <v>7</v>
      </c>
      <c r="E11" s="10" t="s">
        <v>87</v>
      </c>
      <c r="F11" s="10" t="s">
        <v>53</v>
      </c>
      <c r="G11" s="10" t="s">
        <v>361</v>
      </c>
      <c r="H11" s="10" t="s">
        <v>357</v>
      </c>
    </row>
    <row r="12" customFormat="false" ht="45.75" hidden="false" customHeight="true" outlineLevel="0" collapsed="false">
      <c r="A12" s="5" t="s">
        <v>355</v>
      </c>
      <c r="B12" s="5" t="s">
        <v>28</v>
      </c>
      <c r="C12" s="5" t="s">
        <v>362</v>
      </c>
      <c r="D12" s="5" t="s">
        <v>345</v>
      </c>
      <c r="E12" s="5" t="s">
        <v>15</v>
      </c>
      <c r="F12" s="5" t="s">
        <v>53</v>
      </c>
      <c r="G12" s="5" t="s">
        <v>363</v>
      </c>
      <c r="H12" s="5" t="s">
        <v>364</v>
      </c>
    </row>
    <row r="13" customFormat="false" ht="45.75" hidden="false" customHeight="true" outlineLevel="0" collapsed="false">
      <c r="A13" s="10" t="s">
        <v>355</v>
      </c>
      <c r="B13" s="10" t="s">
        <v>28</v>
      </c>
      <c r="C13" s="10" t="s">
        <v>365</v>
      </c>
      <c r="D13" s="10" t="s">
        <v>345</v>
      </c>
      <c r="E13" s="10" t="s">
        <v>15</v>
      </c>
      <c r="F13" s="10" t="s">
        <v>53</v>
      </c>
      <c r="G13" s="10" t="s">
        <v>366</v>
      </c>
      <c r="H13" s="10" t="s">
        <v>364</v>
      </c>
    </row>
    <row r="14" customFormat="false" ht="45.75" hidden="false" customHeight="true" outlineLevel="0" collapsed="false">
      <c r="A14" s="5" t="s">
        <v>355</v>
      </c>
      <c r="B14" s="5" t="s">
        <v>28</v>
      </c>
      <c r="C14" s="5" t="s">
        <v>181</v>
      </c>
      <c r="D14" s="5" t="s">
        <v>5</v>
      </c>
      <c r="E14" s="5" t="s">
        <v>28</v>
      </c>
      <c r="F14" s="5" t="s">
        <v>165</v>
      </c>
      <c r="G14" s="5" t="s">
        <v>367</v>
      </c>
      <c r="H14" s="5" t="s">
        <v>368</v>
      </c>
    </row>
    <row r="15" customFormat="false" ht="45.75" hidden="false" customHeight="true" outlineLevel="0" collapsed="false">
      <c r="A15" s="10" t="s">
        <v>355</v>
      </c>
      <c r="B15" s="10" t="s">
        <v>28</v>
      </c>
      <c r="C15" s="10" t="s">
        <v>369</v>
      </c>
      <c r="D15" s="10" t="s">
        <v>7</v>
      </c>
      <c r="E15" s="10" t="s">
        <v>87</v>
      </c>
      <c r="F15" s="10" t="s">
        <v>16</v>
      </c>
      <c r="G15" s="10" t="s">
        <v>370</v>
      </c>
      <c r="H15" s="10" t="s">
        <v>368</v>
      </c>
    </row>
    <row r="16" customFormat="false" ht="45.75" hidden="false" customHeight="true" outlineLevel="0" collapsed="false">
      <c r="A16" s="5" t="s">
        <v>355</v>
      </c>
      <c r="B16" s="5" t="s">
        <v>28</v>
      </c>
      <c r="C16" s="5" t="s">
        <v>15</v>
      </c>
      <c r="D16" s="5" t="s">
        <v>371</v>
      </c>
      <c r="E16" s="5" t="s">
        <v>372</v>
      </c>
      <c r="F16" s="5" t="s">
        <v>373</v>
      </c>
      <c r="G16" s="5" t="s">
        <v>374</v>
      </c>
      <c r="H16" s="5" t="s">
        <v>375</v>
      </c>
    </row>
    <row r="17" customFormat="false" ht="45.75" hidden="false" customHeight="true" outlineLevel="0" collapsed="false">
      <c r="A17" s="10" t="s">
        <v>355</v>
      </c>
      <c r="B17" s="10" t="s">
        <v>28</v>
      </c>
      <c r="C17" s="10" t="s">
        <v>15</v>
      </c>
      <c r="D17" s="10" t="s">
        <v>376</v>
      </c>
      <c r="E17" s="10" t="s">
        <v>377</v>
      </c>
      <c r="F17" s="10" t="s">
        <v>378</v>
      </c>
      <c r="G17" s="10" t="s">
        <v>379</v>
      </c>
      <c r="H17" s="10" t="s">
        <v>348</v>
      </c>
    </row>
    <row r="18" customFormat="false" ht="15" hidden="false" customHeight="false" outlineLevel="0" collapsed="false">
      <c r="A18" s="16" t="s">
        <v>380</v>
      </c>
      <c r="B18" s="17"/>
      <c r="C18" s="17"/>
      <c r="D18" s="17"/>
      <c r="E18" s="17"/>
      <c r="F18" s="17"/>
      <c r="G18" s="17"/>
      <c r="H18" s="17"/>
    </row>
  </sheetData>
  <autoFilter ref="A4:H17"/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26"/>
    <col collapsed="false" customWidth="true" hidden="false" outlineLevel="0" max="3" min="3" style="0" width="46"/>
    <col collapsed="false" customWidth="true" hidden="false" outlineLevel="0" max="4" min="4" style="0" width="62"/>
    <col collapsed="false" customWidth="true" hidden="false" outlineLevel="0" max="5" min="5" style="0" width="46"/>
  </cols>
  <sheetData>
    <row r="1" customFormat="false" ht="30" hidden="false" customHeight="true" outlineLevel="0" collapsed="false">
      <c r="A1" s="1" t="s">
        <v>381</v>
      </c>
      <c r="B1" s="1"/>
      <c r="C1" s="1"/>
      <c r="D1" s="1"/>
      <c r="E1" s="1"/>
    </row>
    <row r="2" customFormat="false" ht="18" hidden="false" customHeight="true" outlineLevel="0" collapsed="false">
      <c r="A2" s="2" t="s">
        <v>382</v>
      </c>
      <c r="B2" s="2"/>
      <c r="C2" s="2"/>
      <c r="D2" s="2"/>
      <c r="E2" s="2"/>
    </row>
    <row r="4" customFormat="false" ht="30" hidden="false" customHeight="true" outlineLevel="0" collapsed="false">
      <c r="A4" s="3" t="s">
        <v>383</v>
      </c>
      <c r="B4" s="3" t="s">
        <v>384</v>
      </c>
      <c r="C4" s="3" t="s">
        <v>385</v>
      </c>
      <c r="D4" s="3" t="s">
        <v>386</v>
      </c>
      <c r="E4" s="3" t="s">
        <v>281</v>
      </c>
    </row>
    <row r="5" customFormat="false" ht="55.5" hidden="false" customHeight="true" outlineLevel="0" collapsed="false">
      <c r="A5" s="10" t="s">
        <v>387</v>
      </c>
      <c r="B5" s="10" t="s">
        <v>388</v>
      </c>
      <c r="C5" s="10" t="s">
        <v>389</v>
      </c>
      <c r="D5" s="10" t="s">
        <v>390</v>
      </c>
      <c r="E5" s="10" t="s">
        <v>391</v>
      </c>
    </row>
    <row r="6" customFormat="false" ht="55.5" hidden="false" customHeight="true" outlineLevel="0" collapsed="false">
      <c r="A6" s="5" t="s">
        <v>392</v>
      </c>
      <c r="B6" s="5" t="s">
        <v>393</v>
      </c>
      <c r="C6" s="5" t="s">
        <v>394</v>
      </c>
      <c r="D6" s="5" t="s">
        <v>395</v>
      </c>
      <c r="E6" s="5" t="s">
        <v>396</v>
      </c>
    </row>
    <row r="7" customFormat="false" ht="55.5" hidden="false" customHeight="true" outlineLevel="0" collapsed="false">
      <c r="A7" s="10" t="s">
        <v>397</v>
      </c>
      <c r="B7" s="10" t="s">
        <v>398</v>
      </c>
      <c r="C7" s="10" t="s">
        <v>399</v>
      </c>
      <c r="D7" s="10" t="s">
        <v>400</v>
      </c>
      <c r="E7" s="10" t="s">
        <v>401</v>
      </c>
    </row>
    <row r="8" customFormat="false" ht="55.5" hidden="false" customHeight="true" outlineLevel="0" collapsed="false">
      <c r="A8" s="5" t="s">
        <v>402</v>
      </c>
      <c r="B8" s="5" t="s">
        <v>403</v>
      </c>
      <c r="C8" s="5" t="s">
        <v>404</v>
      </c>
      <c r="D8" s="5" t="s">
        <v>405</v>
      </c>
      <c r="E8" s="5" t="s">
        <v>406</v>
      </c>
    </row>
    <row r="9" customFormat="false" ht="55.5" hidden="false" customHeight="true" outlineLevel="0" collapsed="false">
      <c r="A9" s="10" t="s">
        <v>407</v>
      </c>
      <c r="B9" s="10" t="s">
        <v>408</v>
      </c>
      <c r="C9" s="10" t="s">
        <v>409</v>
      </c>
      <c r="D9" s="10" t="s">
        <v>410</v>
      </c>
      <c r="E9" s="10" t="s">
        <v>411</v>
      </c>
    </row>
    <row r="10" customFormat="false" ht="55.5" hidden="false" customHeight="true" outlineLevel="0" collapsed="false">
      <c r="A10" s="5" t="s">
        <v>412</v>
      </c>
      <c r="B10" s="5" t="s">
        <v>413</v>
      </c>
      <c r="C10" s="5" t="s">
        <v>414</v>
      </c>
      <c r="D10" s="5" t="s">
        <v>415</v>
      </c>
      <c r="E10" s="5" t="s">
        <v>416</v>
      </c>
    </row>
    <row r="11" customFormat="false" ht="55.5" hidden="false" customHeight="true" outlineLevel="0" collapsed="false">
      <c r="A11" s="10" t="s">
        <v>417</v>
      </c>
      <c r="B11" s="10" t="s">
        <v>418</v>
      </c>
      <c r="C11" s="10" t="s">
        <v>419</v>
      </c>
      <c r="D11" s="10" t="s">
        <v>420</v>
      </c>
      <c r="E11" s="10" t="s">
        <v>421</v>
      </c>
    </row>
    <row r="12" customFormat="false" ht="55.5" hidden="false" customHeight="true" outlineLevel="0" collapsed="false">
      <c r="A12" s="5" t="s">
        <v>422</v>
      </c>
      <c r="B12" s="5" t="s">
        <v>423</v>
      </c>
      <c r="C12" s="5" t="s">
        <v>424</v>
      </c>
      <c r="D12" s="5" t="s">
        <v>425</v>
      </c>
      <c r="E12" s="5" t="s">
        <v>426</v>
      </c>
    </row>
    <row r="13" customFormat="false" ht="55.5" hidden="false" customHeight="true" outlineLevel="0" collapsed="false">
      <c r="A13" s="10" t="s">
        <v>427</v>
      </c>
      <c r="B13" s="10" t="s">
        <v>428</v>
      </c>
      <c r="C13" s="10" t="s">
        <v>429</v>
      </c>
      <c r="D13" s="10" t="s">
        <v>430</v>
      </c>
      <c r="E13" s="10" t="s">
        <v>431</v>
      </c>
    </row>
    <row r="14" customFormat="false" ht="55.5" hidden="false" customHeight="true" outlineLevel="0" collapsed="false">
      <c r="A14" s="5" t="s">
        <v>432</v>
      </c>
      <c r="B14" s="5" t="s">
        <v>433</v>
      </c>
      <c r="C14" s="5" t="s">
        <v>434</v>
      </c>
      <c r="D14" s="5" t="s">
        <v>435</v>
      </c>
      <c r="E14" s="5" t="s">
        <v>436</v>
      </c>
    </row>
    <row r="15" customFormat="false" ht="55.5" hidden="false" customHeight="true" outlineLevel="0" collapsed="false">
      <c r="A15" s="10" t="s">
        <v>437</v>
      </c>
      <c r="B15" s="10" t="s">
        <v>438</v>
      </c>
      <c r="C15" s="10" t="s">
        <v>439</v>
      </c>
      <c r="D15" s="10" t="s">
        <v>440</v>
      </c>
      <c r="E15" s="10" t="s">
        <v>441</v>
      </c>
    </row>
    <row r="16" customFormat="false" ht="55.5" hidden="false" customHeight="true" outlineLevel="0" collapsed="false">
      <c r="A16" s="5" t="s">
        <v>442</v>
      </c>
      <c r="B16" s="5" t="s">
        <v>443</v>
      </c>
      <c r="C16" s="5" t="s">
        <v>444</v>
      </c>
      <c r="D16" s="5" t="s">
        <v>445</v>
      </c>
      <c r="E16" s="5" t="s">
        <v>446</v>
      </c>
    </row>
    <row r="17" customFormat="false" ht="55.5" hidden="false" customHeight="true" outlineLevel="0" collapsed="false">
      <c r="A17" s="10" t="s">
        <v>447</v>
      </c>
      <c r="B17" s="10" t="s">
        <v>448</v>
      </c>
      <c r="C17" s="10" t="s">
        <v>449</v>
      </c>
      <c r="D17" s="10" t="s">
        <v>450</v>
      </c>
      <c r="E17" s="10" t="s">
        <v>451</v>
      </c>
    </row>
    <row r="18" customFormat="false" ht="55.5" hidden="false" customHeight="true" outlineLevel="0" collapsed="false">
      <c r="A18" s="5" t="s">
        <v>452</v>
      </c>
      <c r="B18" s="5" t="s">
        <v>453</v>
      </c>
      <c r="C18" s="5" t="s">
        <v>454</v>
      </c>
      <c r="D18" s="5" t="s">
        <v>455</v>
      </c>
      <c r="E18" s="5" t="s">
        <v>456</v>
      </c>
    </row>
    <row r="19" customFormat="false" ht="55.5" hidden="false" customHeight="true" outlineLevel="0" collapsed="false">
      <c r="A19" s="10" t="s">
        <v>457</v>
      </c>
      <c r="B19" s="10" t="s">
        <v>458</v>
      </c>
      <c r="C19" s="10" t="s">
        <v>459</v>
      </c>
      <c r="D19" s="10" t="s">
        <v>460</v>
      </c>
      <c r="E19" s="10" t="s">
        <v>461</v>
      </c>
    </row>
    <row r="20" customFormat="false" ht="55.5" hidden="false" customHeight="true" outlineLevel="0" collapsed="false">
      <c r="A20" s="5" t="s">
        <v>462</v>
      </c>
      <c r="B20" s="5" t="s">
        <v>463</v>
      </c>
      <c r="C20" s="5" t="s">
        <v>464</v>
      </c>
      <c r="D20" s="5" t="s">
        <v>465</v>
      </c>
      <c r="E20" s="5" t="s">
        <v>466</v>
      </c>
    </row>
    <row r="21" customFormat="false" ht="55.5" hidden="false" customHeight="true" outlineLevel="0" collapsed="false">
      <c r="A21" s="10" t="s">
        <v>467</v>
      </c>
      <c r="B21" s="10" t="s">
        <v>468</v>
      </c>
      <c r="C21" s="10" t="s">
        <v>469</v>
      </c>
      <c r="D21" s="10" t="s">
        <v>470</v>
      </c>
      <c r="E21" s="10" t="s">
        <v>471</v>
      </c>
    </row>
    <row r="22" customFormat="false" ht="55.5" hidden="false" customHeight="true" outlineLevel="0" collapsed="false">
      <c r="A22" s="5" t="s">
        <v>472</v>
      </c>
      <c r="B22" s="5" t="s">
        <v>473</v>
      </c>
      <c r="C22" s="5" t="s">
        <v>474</v>
      </c>
      <c r="D22" s="5" t="s">
        <v>475</v>
      </c>
      <c r="E22" s="5" t="s">
        <v>476</v>
      </c>
    </row>
    <row r="23" customFormat="false" ht="55.5" hidden="false" customHeight="true" outlineLevel="0" collapsed="false">
      <c r="A23" s="10" t="s">
        <v>477</v>
      </c>
      <c r="B23" s="10" t="s">
        <v>478</v>
      </c>
      <c r="C23" s="10" t="s">
        <v>479</v>
      </c>
      <c r="D23" s="10" t="s">
        <v>480</v>
      </c>
      <c r="E23" s="10" t="s">
        <v>481</v>
      </c>
    </row>
    <row r="24" customFormat="false" ht="55.5" hidden="false" customHeight="true" outlineLevel="0" collapsed="false">
      <c r="A24" s="5" t="s">
        <v>482</v>
      </c>
      <c r="B24" s="5" t="s">
        <v>483</v>
      </c>
      <c r="C24" s="5" t="s">
        <v>484</v>
      </c>
      <c r="D24" s="5" t="s">
        <v>485</v>
      </c>
      <c r="E24" s="5" t="s">
        <v>486</v>
      </c>
    </row>
    <row r="25" customFormat="false" ht="55.5" hidden="false" customHeight="true" outlineLevel="0" collapsed="false">
      <c r="A25" s="10" t="s">
        <v>487</v>
      </c>
      <c r="B25" s="10" t="s">
        <v>488</v>
      </c>
      <c r="C25" s="10" t="s">
        <v>489</v>
      </c>
      <c r="D25" s="10" t="s">
        <v>490</v>
      </c>
      <c r="E25" s="10" t="s">
        <v>491</v>
      </c>
    </row>
    <row r="26" customFormat="false" ht="55.5" hidden="false" customHeight="true" outlineLevel="0" collapsed="false">
      <c r="A26" s="5" t="s">
        <v>492</v>
      </c>
      <c r="B26" s="5" t="s">
        <v>493</v>
      </c>
      <c r="C26" s="5" t="s">
        <v>494</v>
      </c>
      <c r="D26" s="5" t="s">
        <v>495</v>
      </c>
      <c r="E26" s="5" t="s">
        <v>496</v>
      </c>
    </row>
    <row r="27" customFormat="false" ht="55.5" hidden="false" customHeight="true" outlineLevel="0" collapsed="false">
      <c r="A27" s="10" t="s">
        <v>497</v>
      </c>
      <c r="B27" s="10" t="s">
        <v>498</v>
      </c>
      <c r="C27" s="10" t="s">
        <v>499</v>
      </c>
      <c r="D27" s="10" t="s">
        <v>500</v>
      </c>
      <c r="E27" s="10" t="s">
        <v>501</v>
      </c>
    </row>
    <row r="28" customFormat="false" ht="55.5" hidden="false" customHeight="true" outlineLevel="0" collapsed="false">
      <c r="A28" s="5" t="s">
        <v>502</v>
      </c>
      <c r="B28" s="5" t="s">
        <v>503</v>
      </c>
      <c r="C28" s="5" t="s">
        <v>504</v>
      </c>
      <c r="D28" s="5" t="s">
        <v>505</v>
      </c>
      <c r="E28" s="5" t="s">
        <v>506</v>
      </c>
    </row>
    <row r="29" customFormat="false" ht="55.5" hidden="false" customHeight="true" outlineLevel="0" collapsed="false">
      <c r="A29" s="10" t="s">
        <v>507</v>
      </c>
      <c r="B29" s="10" t="s">
        <v>508</v>
      </c>
      <c r="C29" s="10" t="s">
        <v>509</v>
      </c>
      <c r="D29" s="10" t="s">
        <v>510</v>
      </c>
      <c r="E29" s="10" t="s">
        <v>511</v>
      </c>
    </row>
    <row r="30" customFormat="false" ht="55.5" hidden="false" customHeight="true" outlineLevel="0" collapsed="false">
      <c r="A30" s="5" t="s">
        <v>512</v>
      </c>
      <c r="B30" s="5" t="s">
        <v>513</v>
      </c>
      <c r="C30" s="5" t="s">
        <v>514</v>
      </c>
      <c r="D30" s="5" t="s">
        <v>515</v>
      </c>
      <c r="E30" s="5" t="s">
        <v>516</v>
      </c>
    </row>
    <row r="31" customFormat="false" ht="55.5" hidden="false" customHeight="true" outlineLevel="0" collapsed="false">
      <c r="A31" s="10" t="s">
        <v>517</v>
      </c>
      <c r="B31" s="10" t="s">
        <v>518</v>
      </c>
      <c r="C31" s="10" t="s">
        <v>519</v>
      </c>
      <c r="D31" s="10" t="s">
        <v>520</v>
      </c>
      <c r="E31" s="10" t="s">
        <v>521</v>
      </c>
    </row>
    <row r="32" customFormat="false" ht="55.5" hidden="false" customHeight="true" outlineLevel="0" collapsed="false">
      <c r="A32" s="5" t="s">
        <v>522</v>
      </c>
      <c r="B32" s="5" t="s">
        <v>523</v>
      </c>
      <c r="C32" s="5" t="s">
        <v>524</v>
      </c>
      <c r="D32" s="5" t="s">
        <v>525</v>
      </c>
      <c r="E32" s="5" t="s">
        <v>526</v>
      </c>
    </row>
    <row r="33" customFormat="false" ht="55.5" hidden="false" customHeight="true" outlineLevel="0" collapsed="false">
      <c r="A33" s="10" t="s">
        <v>527</v>
      </c>
      <c r="B33" s="10" t="s">
        <v>528</v>
      </c>
      <c r="C33" s="10" t="s">
        <v>529</v>
      </c>
      <c r="D33" s="10" t="s">
        <v>530</v>
      </c>
      <c r="E33" s="10" t="s">
        <v>531</v>
      </c>
    </row>
    <row r="34" customFormat="false" ht="55.5" hidden="false" customHeight="true" outlineLevel="0" collapsed="false">
      <c r="A34" s="5" t="s">
        <v>532</v>
      </c>
      <c r="B34" s="5" t="s">
        <v>533</v>
      </c>
      <c r="C34" s="5" t="s">
        <v>534</v>
      </c>
      <c r="D34" s="5" t="s">
        <v>535</v>
      </c>
      <c r="E34" s="5" t="s">
        <v>536</v>
      </c>
    </row>
    <row r="35" customFormat="false" ht="55.5" hidden="false" customHeight="true" outlineLevel="0" collapsed="false">
      <c r="A35" s="10" t="s">
        <v>537</v>
      </c>
      <c r="B35" s="10" t="s">
        <v>538</v>
      </c>
      <c r="C35" s="10" t="s">
        <v>539</v>
      </c>
      <c r="D35" s="10" t="s">
        <v>540</v>
      </c>
      <c r="E35" s="10" t="s">
        <v>541</v>
      </c>
    </row>
    <row r="36" customFormat="false" ht="55.5" hidden="false" customHeight="true" outlineLevel="0" collapsed="false">
      <c r="A36" s="5" t="s">
        <v>542</v>
      </c>
      <c r="B36" s="5" t="s">
        <v>543</v>
      </c>
      <c r="C36" s="5" t="s">
        <v>544</v>
      </c>
      <c r="D36" s="5" t="s">
        <v>545</v>
      </c>
      <c r="E36" s="5" t="s">
        <v>546</v>
      </c>
    </row>
    <row r="37" customFormat="false" ht="55.5" hidden="false" customHeight="true" outlineLevel="0" collapsed="false">
      <c r="A37" s="10" t="s">
        <v>547</v>
      </c>
      <c r="B37" s="10" t="s">
        <v>548</v>
      </c>
      <c r="C37" s="10" t="s">
        <v>549</v>
      </c>
      <c r="D37" s="10" t="s">
        <v>550</v>
      </c>
      <c r="E37" s="10" t="s">
        <v>551</v>
      </c>
    </row>
    <row r="38" customFormat="false" ht="55.5" hidden="false" customHeight="true" outlineLevel="0" collapsed="false">
      <c r="A38" s="5" t="s">
        <v>552</v>
      </c>
      <c r="B38" s="5" t="s">
        <v>553</v>
      </c>
      <c r="C38" s="5" t="s">
        <v>554</v>
      </c>
      <c r="D38" s="5" t="s">
        <v>555</v>
      </c>
      <c r="E38" s="5" t="s">
        <v>556</v>
      </c>
    </row>
    <row r="39" customFormat="false" ht="15" hidden="false" customHeight="false" outlineLevel="0" collapsed="false">
      <c r="A39" s="16" t="s">
        <v>380</v>
      </c>
      <c r="B39" s="17"/>
      <c r="C39" s="17"/>
      <c r="D39" s="17"/>
      <c r="E39" s="17"/>
    </row>
  </sheetData>
  <autoFilter ref="A4:E38"/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2026-07-30T01:50:00Z</dcterms:created>
  <dc:creator>openpyxl</dc:creator>
  <dc:description/>
  <dc:language>en-US</dc:language>
  <cp:lastModifiedBy/>
  <dcterms:modified xsi:type="dcterms:W3CDTF">2026-07-30T01:50:00Z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