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HISTORICO!$A$4:$H$21</definedName>
    <definedName function="false" hidden="true" localSheetId="0" name="_xlnm._FilterDatabase" vbProcedure="false">'LINHA DE PRODUCAO'!$A$4:$J$43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<sst xmlns="http://schemas.openxmlformats.org/spreadsheetml/2006/main" count="850" uniqueCount="587">
  <si>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</si>
  <si>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</si>
  <si>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</si>
  <si>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</si>
  <si>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</si>
  <si>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</si>
  <si>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</si>
  <si>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</si>
  <si>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</si>
  <si>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</si>
  <si>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</si>
  <si>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</si>
  <si>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</si>
  <si>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</si>
  <si>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</si>
  <si>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</si>
  <si>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</si>
  <si>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</si>
  <si>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</si>
  <si>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</si>
  <si>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</si>
  <si>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</si>
  <si>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</si>
  <si>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</si>
  <si>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</si>
  <si>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</si>
  <si>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</si>
  <si>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</si>
  <si>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</si>
  <si>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</si>
  <si>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</si>
  <si>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</si>
  <si>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</si>
  <si>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</si>
  <si>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</si>
  <si>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</si>
  <si>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</si>
  <si>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</si>
  <si>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</si>
  <si>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</si>
  <si>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</si>
  <si>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</si>
  <si>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</si>
  <si>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</si>
  <si>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</si>
  <si>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</si>
  <si>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</si>
  <si>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</si>
  <si>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</si>
  <si>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</si>
  <si>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</si>
  <si>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</si>
  <si>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</si>
  <si>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</si>
  <si>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</si>
  <si>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</si>
  <si>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</si>
  <si>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</si>
  <si>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</si>
  <si>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</si>
  <si>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</si>
  <si>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</si>
  <si>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</si>
  <si>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</si>
  <si>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</si>
  <si>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</si>
  <si>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</si>
  <si>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</si>
  <si>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</si>
  <si>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</si>
  <si>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</si>
  <si>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</si>
  <si>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</si>
  <si>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</si>
  <si>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</si>
  <si>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</si>
  <si>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</si>
  <si>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</si>
  <si>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</si>
  <si>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</si>
  <si>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</si>
  <si>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</si>
  <si>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</si>
  <si>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</si>
  <si>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</si>
  <si>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</si>
  <si>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</si>
  <si>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</si>
  <si>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</si>
  <si>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</si>
  <si>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</si>
  <si>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</si>
  <si>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</si>
  <si>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</si>
  <si>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</si>
  <si>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</si>
  <si>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</si>
  <si>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</si>
  <si>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</si>
  <si>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</si>
  <si>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</si>
  <si>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</si>
  <si>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</si>
  <si>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</si>
  <si>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</si>
  <si>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</si>
  <si>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</si>
  <si>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</si>
  <si>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</si>
  <si>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</si>
  <si>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</si>
  <si>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</si>
  <si>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</si>
  <si>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</si>
  <si>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</si>
  <si>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</si>
  <si>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</si>
  <si>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</si>
  <si>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</si>
  <si>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</si>
  <si>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</si>
  <si>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</si>
  <si>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</si>
  <si>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</si>
  <si>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</si>
  <si>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</si>
  <si>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</si>
  <si>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</si>
  <si>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</si>
  <si>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</si>
  <si>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</si>
  <si>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</si>
  <si>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</si>
  <si>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</si>
  <si>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</si>
  <si>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</si>
  <si>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</si>
  <si>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</si>
  <si>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</si>
  <si>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</si>
  <si>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</si>
  <si>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</si>
  <si>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</si>
  <si>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</si>
  <si>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</si>
  <si>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</si>
  <si>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</si>
  <si>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</si>
  <si>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</si>
  <si>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</si>
  <si>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</si>
  <si>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</si>
  <si>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</si>
  <si>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</si>
  <si>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</si>
  <si>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</si>
  <si>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</si>
  <si>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</si>
  <si>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</si>
  <si>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</si>
  <si>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</si>
  <si>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</si>
  <si>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</si>
  <si>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</si>
  <si>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</si>
  <si>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Dr. Manus</t>
  </si>
  <si>
    <t xml:space="preserve">P3 baixo</t>
  </si>
  <si>
    <t xml:space="preserve">Passou para o Dr. Manus em 30/07: missao de escopo fechado, ponta a ponta, sem dependencia. Libera o Dr. Code para os tres itens P0.</t>
  </si>
  <si>
    <t xml:space="preserve">Escrever no proprio codigo como o sistema e montado. Hoje isso so existe dentro do painel de um fornecedor: se a conta sumir, o codigo sozinho nao remonta o sistema. Passou para o Dr. Manus, que faz missao inteira sozinho.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</si>
  <si>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</si>
  <si>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</si>
  <si>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</si>
  <si>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</si>
  <si>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</si>
  <si>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</si>
  <si>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</si>
  <si>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</si>
  <si>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</si>
  <si>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</si>
  <si>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</si>
  <si>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</si>
  <si>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</si>
  <si>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</si>
  <si>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</si>
  <si>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</si>
  <si>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</si>
  <si>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</si>
  <si>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</si>
  <si>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</si>
  <si>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</si>
  <si>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</si>
  <si>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</si>
  <si>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</si>
  <si>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Vaga usada em 30/07: o Dr. Manus assumiu o item 30. Esta linha fica como registro, nao se apaga.</t>
  </si>
  <si>
    <t xml:space="preserve">Fechada em 30/07 com a entrada dele no item 30. Proxima missao entra como numero novo, nunca reaproveitando este.</t>
  </si>
  <si>
    <t xml:space="preserve">Era a vaga aberta do Dr. Manus. Ele entrou em 30/07 e pegou o item 30, entao a vaga fechou. A linha fica como registro: nada se apaga.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</si>
  <si>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</si>
  <si>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</si>
  <si>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</si>
  <si>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</si>
  <si>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Espelho dos .md no cofre do Dr. Obsidian</t>
  </si>
  <si>
    <t xml:space="preserve">Escrever os .md da equipe numa pasta do Google Drive que o Obsidian sincroniza. Sem conector novo: o Drive ja esta ligado.</t>
  </si>
  <si>
    <t xml:space="preserve">O Art. 23-B da Biblia manda todo guia e licao aprendida terminar no cofre. Hoje nada chega la: cartilha, colisao e espelho estao so no GitHub.</t>
  </si>
  <si>
    <t xml:space="preserve">Fazer os documentos da equipe caírem tambem na sua pasta do Obsidian, o seu segundo cerebro. Hoje eles existem so no GitHub, que voce nao abre para consultar. E a sua propria regra que nao esta sendo cumprida.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</si>
  <si>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</si>
  <si>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</si>
  <si>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</si>
  <si>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</si>
  <si>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</si>
  <si>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</si>
  <si>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</si>
  <si>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</si>
  <si>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</si>
  <si>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</si>
  <si>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</si>
  <si>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</si>
  <si>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</si>
  <si>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</si>
  <si>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</si>
  <si>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</si>
  <si>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</si>
  <si>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</si>
  <si>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</si>
  <si>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</si>
  <si>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</si>
  <si>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</si>
  <si>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</si>
  <si>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</si>
  <si>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</si>
  <si>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</si>
  <si>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</si>
  <si>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</si>
  <si>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</si>
  <si>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</si>
  <si>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</si>
  <si>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</si>
  <si>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</si>
  <si>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</si>
  <si>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</si>
  <si>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</si>
  <si>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railway.toml versionado (30). Proximo candidato: X-Request-Id e contrato da API (35)</t>
  </si>
  <si>
    <t xml:space="preserve">Dr. Chat</t>
  </si>
  <si>
    <t xml:space="preserve">ChatGPT</t>
  </si>
  <si>
    <t xml:space="preserve">Peca avulsa e auditoria independente: logo, mockup, imagem, grafico, rascunho de texto, e segunda opiniao sobre spec e codigo de outro agente</t>
  </si>
  <si>
    <t xml:space="preserve">NAO commita nada. Entrega arquivo na doca; quem commita e o dono do territorio. Nao decide arquitetura nem mexe em fila</t>
  </si>
  <si>
    <t xml:space="preserve">Sem item proprio ainda. Auditoria independente e sob demanda</t>
  </si>
  <si>
    <t xml:space="preserve">VAGA 1 — a definir</t>
  </si>
  <si>
    <t xml:space="preserve">a definir</t>
  </si>
  <si>
    <t xml:space="preserve">A definir no ritual de entrada</t>
  </si>
  <si>
    <t xml:space="preserve">Tudo, ate a matriz ser preenchida</t>
  </si>
  <si>
    <t xml:space="preserve">Livre. Ver o ritual de entrada no capitulo 07 da cartilha</t>
  </si>
  <si>
    <t xml:space="preserve">VAGA 2 — a definir</t>
  </si>
  <si>
    <t xml:space="preserve">VAGA 3 — a definir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</si>
  <si>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</si>
  <si>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</si>
  <si>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</si>
  <si>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</si>
  <si>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</si>
  <si>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</si>
  <si>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</si>
  <si>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</si>
  <si>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</si>
  <si>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</si>
  <si>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</si>
  <si>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</si>
  <si>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</si>
  <si>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</si>
  <si>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</si>
  <si>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</si>
  <si>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</si>
  <si>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</si>
  <si>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</si>
  <si>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</si>
  <si>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</si>
  <si>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</si>
  <si>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</si>
  <si>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</si>
  <si>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</si>
  <si>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</si>
  <si>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</si>
  <si>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</si>
  <si>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</si>
  <si>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</si>
  <si>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</si>
  <si>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</si>
  <si>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</si>
  <si>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</si>
  <si>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</si>
  <si>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</si>
  <si>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</si>
  <si>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</si>
  <si>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</si>
  <si>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</si>
  <si>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</si>
  <si>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</si>
  <si>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</si>
  <si>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</si>
  <si>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</si>
  <si>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</si>
  <si>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</si>
  <si>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</si>
  <si>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</si>
  <si>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</si>
  <si>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</si>
  <si>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</si>
  <si>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</si>
  <si>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</si>
  <si>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</si>
  <si>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</si>
  <si>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</si>
  <si>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</si>
  <si>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</si>
  <si>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</si>
  <si>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</si>
  <si>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</si>
  <si>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</si>
  <si>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</si>
  <si>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</si>
  <si>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</si>
  <si>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</si>
  <si>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</si>
  <si>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</si>
  <si>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</si>
  <si>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</si>
  <si>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</si>
  <si>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</si>
  <si>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</si>
  <si>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</si>
  <si>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</si>
  <si>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</si>
  <si>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</si>
  <si>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</si>
  <si>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</si>
  <si>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</si>
  <si>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</si>
  <si>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</si>
  <si>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</si>
  <si>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</si>
  <si>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</si>
  <si>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</si>
  <si>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</si>
  <si>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</si>
  <si>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</si>
  <si>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</si>
  <si>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</si>
  <si>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</si>
  <si>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</si>
  <si>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</si>
  <si>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</si>
  <si>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</si>
  <si>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</si>
  <si>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</si>
  <si>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</si>
  <si>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</si>
  <si>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</si>
  <si>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</si>
  <si>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</si>
  <si>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</si>
  <si>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</si>
  <si>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</si>
  <si>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</si>
  <si>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</si>
  <si>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</si>
  <si>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</si>
  <si>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</si>
  <si>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</si>
  <si>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</si>
  <si>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</si>
  <si>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</si>
  <si>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</si>
  <si>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</si>
  <si>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</si>
  <si>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</si>
  <si>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</si>
  <si>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</si>
  <si>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</si>
  <si>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</si>
  <si>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</si>
  <si>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</si>
  <si>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</si>
  <si>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</si>
  <si>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</si>
  <si>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</si>
  <si>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O Dr. Manus entrou na equipe de fato. Item de escopo fechado, ponta a ponta, sem dependencia — perfil dele. Libera o Dr. Code para os tres itens P0 de isolamento.</t>
  </si>
  <si>
    <t xml:space="preserve">pedido do CEO</t>
  </si>
  <si>
    <t xml:space="preserve">36</t>
  </si>
  <si>
    <t xml:space="preserve">A vaga em aberto do Dr. Manus foi usada: ele assumiu o item 30. A linha fica como registro; proxima missao dele entra como numero novo.</t>
  </si>
  <si>
    <t xml:space="preserve">coordenacao</t>
  </si>
  <si>
    <t xml:space="preserve">recado no repositorio</t>
  </si>
  <si>
    <t xml:space="preserve">recado no Slack em tempo real</t>
  </si>
  <si>
    <t xml:space="preserve">Premissa minha estava errada: eu afirmei que os agentes nao conseguiam conversar entre si. Todos tinham conector de Slack. Canal #padaxor-projeto passa a ser a caixa de recados, e o CEO sai do meio.</t>
  </si>
  <si>
    <t xml:space="preserve">CARTILHA/06 em PADUA-SOFTWARE-DESIGN</t>
  </si>
  <si>
    <t xml:space="preserve">equipe</t>
  </si>
  <si>
    <t xml:space="preserve">5 membros</t>
  </si>
  <si>
    <t xml:space="preserve">6 membros</t>
  </si>
  <si>
    <t xml:space="preserve">Dr. Chat (ChatGPT) entrou no quadro por decisao do CEO. Territorio escolhido para NAO sobrepor ninguem: peca avulsa e auditoria independente, entregue na doca, sem commitar. Modelo de familia diferente lendo a mesma spec pega o que o autor nao viu.</t>
  </si>
  <si>
    <t xml:space="preserve">conector</t>
  </si>
  <si>
    <t xml:space="preserve">sem Cloudflare</t>
  </si>
  <si>
    <t xml:space="preserve">Cloudflare ligado, sem DNS</t>
  </si>
  <si>
    <t xml:space="preserve">ERRO MEU: recomendei o conector Cloudflare para resolver o DNS dos itens 13, 14, 27 e 29. Conferi a lista de ferramentas DEPOIS de o CEO instalar: o conector expoe R2, D1, KV, Workers, Hyperdrive e busca em documentacao. ZERO ferramentas de DNS. Os quatro itens continuam travados e nada mudou de estado.</t>
  </si>
  <si>
    <t xml:space="preserve">CARTILHA/08 em PADUA-SOFTWARE-DESIGN</t>
  </si>
  <si>
    <t xml:space="preserve">39</t>
  </si>
  <si>
    <t xml:space="preserve">Item novo: o Art. 23-B da Biblia nao esta sendo cumprido. Nenhum .md escrito nesta madrugada chegou ao cofre do Dr. Obsidian. Conserto usa o Google Drive, que ja esta ligado.</t>
  </si>
  <si>
    <t xml:space="preserve">achado durante a revisao de conectores</t>
  </si>
  <si>
    <t xml:space="preserve">6 membros e 3 vagas</t>
  </si>
  <si>
    <t xml:space="preserve">Tres vagas abertas para agente futuro, com rotulo VAGA e nao em branco: o espelho le a matriz varrendo ate a celula vazia, e linha em branco cortaria tudo abaixo. Preenchimento so pelo ritual de entrada.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</si>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</sst>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5" t="n">
        <v>10</v>
      </c>
      <c r="B14" s="5" t="s">
        <v>63</v>
      </c>
      <c r="C14" s="5" t="s">
        <v>64</v>
      </c>
      <c r="D14" s="5" t="s">
        <v>28</v>
      </c>
      <c r="E14" s="5" t="s">
        <v>15</v>
      </c>
      <c r="F14" s="5" t="s">
        <v>53</v>
      </c>
      <c r="G14" s="5" t="s">
        <v>17</v>
      </c>
      <c r="H14" s="5" t="s">
        <v>65</v>
      </c>
      <c r="I14" s="5" t="s">
        <v>66</v>
      </c>
      <c r="J14" s="5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65</v>
      </c>
      <c r="I31" s="6" t="s">
        <v>151</v>
      </c>
      <c r="J31" s="6" t="s">
        <v>152</v>
      </c>
    </row>
    <row r="32" customFormat="false" ht="45.75" hidden="false" customHeight="true" outlineLevel="0" collapsed="false">
      <c r="A32" s="6" t="n">
        <v>28</v>
      </c>
      <c r="B32" s="6" t="s">
        <v>153</v>
      </c>
      <c r="C32" s="6" t="s">
        <v>154</v>
      </c>
      <c r="D32" s="6" t="s">
        <v>14</v>
      </c>
      <c r="E32" s="6" t="s">
        <v>155</v>
      </c>
      <c r="F32" s="6" t="s">
        <v>87</v>
      </c>
      <c r="G32" s="6" t="s">
        <v>107</v>
      </c>
      <c r="H32" s="6" t="s">
        <v>156</v>
      </c>
      <c r="I32" s="6" t="s">
        <v>157</v>
      </c>
      <c r="J32" s="6" t="s">
        <v>158</v>
      </c>
    </row>
    <row r="33" customFormat="false" ht="45.75" hidden="false" customHeight="true" outlineLevel="0" collapsed="false">
      <c r="A33" s="6" t="n">
        <v>29</v>
      </c>
      <c r="B33" s="6" t="s">
        <v>159</v>
      </c>
      <c r="C33" s="6" t="s">
        <v>160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161</v>
      </c>
      <c r="J33" s="6" t="s">
        <v>162</v>
      </c>
    </row>
    <row r="34" customFormat="false" ht="45.75" hidden="false" customHeight="true" outlineLevel="0" collapsed="false">
      <c r="A34" s="5" t="n">
        <v>30</v>
      </c>
      <c r="B34" s="5" t="s">
        <v>163</v>
      </c>
      <c r="C34" s="5" t="s">
        <v>164</v>
      </c>
      <c r="D34" s="5" t="s">
        <v>165</v>
      </c>
      <c r="E34" s="5" t="s">
        <v>15</v>
      </c>
      <c r="F34" s="5" t="s">
        <v>53</v>
      </c>
      <c r="G34" s="5" t="s">
        <v>166</v>
      </c>
      <c r="H34" s="5" t="s">
        <v>97</v>
      </c>
      <c r="I34" s="5" t="s">
        <v>167</v>
      </c>
      <c r="J34" s="5" t="s">
        <v>168</v>
      </c>
    </row>
    <row r="35" customFormat="false" ht="45.75" hidden="false" customHeight="true" outlineLevel="0" collapsed="false">
      <c r="A35" s="5" t="n">
        <v>31</v>
      </c>
      <c r="B35" s="5" t="s">
        <v>169</v>
      </c>
      <c r="C35" s="5" t="s">
        <v>170</v>
      </c>
      <c r="D35" s="5" t="s">
        <v>43</v>
      </c>
      <c r="E35" s="5" t="s">
        <v>171</v>
      </c>
      <c r="F35" s="5" t="s">
        <v>53</v>
      </c>
      <c r="G35" s="5" t="s">
        <v>166</v>
      </c>
      <c r="H35" s="5" t="s">
        <v>97</v>
      </c>
      <c r="I35" s="5" t="s">
        <v>172</v>
      </c>
      <c r="J35" s="5" t="s">
        <v>173</v>
      </c>
    </row>
    <row r="36" customFormat="false" ht="45.75" hidden="false" customHeight="true" outlineLevel="0" collapsed="false">
      <c r="A36" s="5" t="n">
        <v>32</v>
      </c>
      <c r="B36" s="5" t="s">
        <v>174</v>
      </c>
      <c r="C36" s="5" t="s">
        <v>175</v>
      </c>
      <c r="D36" s="5" t="s">
        <v>28</v>
      </c>
      <c r="E36" s="5" t="s">
        <v>106</v>
      </c>
      <c r="F36" s="5" t="s">
        <v>53</v>
      </c>
      <c r="G36" s="5" t="s">
        <v>166</v>
      </c>
      <c r="H36" s="5" t="s">
        <v>176</v>
      </c>
      <c r="I36" s="5" t="s">
        <v>177</v>
      </c>
      <c r="J36" s="5" t="s">
        <v>178</v>
      </c>
    </row>
    <row r="37" customFormat="false" ht="45.75" hidden="false" customHeight="true" outlineLevel="0" collapsed="false">
      <c r="A37" s="6" t="n">
        <v>33</v>
      </c>
      <c r="B37" s="6" t="s">
        <v>179</v>
      </c>
      <c r="C37" s="6" t="s">
        <v>180</v>
      </c>
      <c r="D37" s="6" t="s">
        <v>28</v>
      </c>
      <c r="E37" s="6" t="s">
        <v>181</v>
      </c>
      <c r="F37" s="6" t="s">
        <v>87</v>
      </c>
      <c r="G37" s="6" t="s">
        <v>166</v>
      </c>
      <c r="H37" s="6" t="s">
        <v>60</v>
      </c>
      <c r="I37" s="6" t="s">
        <v>182</v>
      </c>
      <c r="J37" s="6" t="s">
        <v>183</v>
      </c>
    </row>
    <row r="38" customFormat="false" ht="45.75" hidden="false" customHeight="true" outlineLevel="0" collapsed="false">
      <c r="A38" s="5" t="n">
        <v>34</v>
      </c>
      <c r="B38" s="5" t="s">
        <v>184</v>
      </c>
      <c r="C38" s="5" t="s">
        <v>185</v>
      </c>
      <c r="D38" s="5" t="s">
        <v>23</v>
      </c>
      <c r="E38" s="5" t="s">
        <v>15</v>
      </c>
      <c r="F38" s="5" t="s">
        <v>53</v>
      </c>
      <c r="G38" s="5" t="s">
        <v>166</v>
      </c>
      <c r="H38" s="5" t="s">
        <v>112</v>
      </c>
      <c r="I38" s="5" t="s">
        <v>186</v>
      </c>
      <c r="J38" s="5" t="s">
        <v>187</v>
      </c>
    </row>
    <row r="39" customFormat="false" ht="45.75" hidden="false" customHeight="true" outlineLevel="0" collapsed="false">
      <c r="A39" s="5" t="n">
        <v>35</v>
      </c>
      <c r="B39" s="5" t="s">
        <v>188</v>
      </c>
      <c r="C39" s="5" t="s">
        <v>189</v>
      </c>
      <c r="D39" s="5" t="s">
        <v>28</v>
      </c>
      <c r="E39" s="5" t="s">
        <v>15</v>
      </c>
      <c r="F39" s="5" t="s">
        <v>53</v>
      </c>
      <c r="G39" s="5" t="s">
        <v>166</v>
      </c>
      <c r="H39" s="5" t="s">
        <v>60</v>
      </c>
      <c r="I39" s="5" t="s">
        <v>190</v>
      </c>
      <c r="J39" s="5" t="s">
        <v>191</v>
      </c>
    </row>
    <row r="40" customFormat="false" ht="45.75" hidden="false" customHeight="true" outlineLevel="0" collapsed="false">
      <c r="A40" s="4" t="n">
        <v>36</v>
      </c>
      <c r="B40" s="4" t="s">
        <v>192</v>
      </c>
      <c r="C40" s="4" t="s">
        <v>193</v>
      </c>
      <c r="D40" s="4" t="s">
        <v>165</v>
      </c>
      <c r="E40" s="4" t="s">
        <v>15</v>
      </c>
      <c r="F40" s="4" t="s">
        <v>16</v>
      </c>
      <c r="G40" s="4" t="s">
        <v>166</v>
      </c>
      <c r="H40" s="4" t="s">
        <v>15</v>
      </c>
      <c r="I40" s="4" t="s">
        <v>194</v>
      </c>
      <c r="J40" s="4" t="s">
        <v>195</v>
      </c>
    </row>
    <row r="41" customFormat="false" ht="45.75" hidden="false" customHeight="true" outlineLevel="0" collapsed="false">
      <c r="A41" s="5" t="n">
        <v>37</v>
      </c>
      <c r="B41" s="5" t="s">
        <v>196</v>
      </c>
      <c r="C41" s="5" t="s">
        <v>197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198</v>
      </c>
      <c r="J41" s="5" t="s">
        <v>199</v>
      </c>
    </row>
    <row r="42" customFormat="false" ht="45.75" hidden="false" customHeight="true" outlineLevel="0" collapsed="false">
      <c r="A42" s="5" t="n">
        <v>39</v>
      </c>
      <c r="B42" s="5" t="s">
        <v>200</v>
      </c>
      <c r="C42" s="5" t="s">
        <v>201</v>
      </c>
      <c r="D42" s="5" t="s">
        <v>28</v>
      </c>
      <c r="E42" s="5" t="s">
        <v>15</v>
      </c>
      <c r="F42" s="5" t="s">
        <v>53</v>
      </c>
      <c r="G42" s="5" t="s">
        <v>107</v>
      </c>
      <c r="H42" s="5" t="s">
        <v>65</v>
      </c>
      <c r="I42" s="5" t="s">
        <v>202</v>
      </c>
      <c r="J42" s="5" t="s">
        <v>203</v>
      </c>
    </row>
    <row r="43" customFormat="false" ht="45.75" hidden="false" customHeight="true" outlineLevel="0" collapsed="false">
      <c r="A43" s="5" t="n">
        <v>38</v>
      </c>
      <c r="B43" s="5" t="s">
        <v>204</v>
      </c>
      <c r="C43" s="5" t="s">
        <v>205</v>
      </c>
      <c r="D43" s="5" t="s">
        <v>14</v>
      </c>
      <c r="E43" s="5" t="s">
        <v>15</v>
      </c>
      <c r="F43" s="5" t="s">
        <v>53</v>
      </c>
      <c r="G43" s="5" t="s">
        <v>44</v>
      </c>
      <c r="H43" s="5" t="s">
        <v>65</v>
      </c>
      <c r="I43" s="5" t="s">
        <v>206</v>
      </c>
      <c r="J43" s="5" t="s">
        <v>207</v>
      </c>
    </row>
    <row r="45" customFormat="false" ht="15" hidden="false" customHeight="false" outlineLevel="0" collapsed="false">
      <c r="B45" s="7" t="s">
        <v>208</v>
      </c>
    </row>
    <row r="46" customFormat="false" ht="15" hidden="false" customHeight="false" outlineLevel="0" collapsed="false">
      <c r="B46" s="8" t="s">
        <v>209</v>
      </c>
      <c r="C46" s="9" t="n">
        <f aca="false">COUNTIF(F5:F43,"CONCLUIDO")</f>
        <v>10</v>
      </c>
    </row>
    <row r="47" customFormat="false" ht="15" hidden="false" customHeight="false" outlineLevel="0" collapsed="false">
      <c r="B47" s="8" t="s">
        <v>210</v>
      </c>
      <c r="C47" s="9" t="n">
        <f aca="false">COUNTIF(F5:F43,"A FAZER")</f>
        <v>18</v>
      </c>
    </row>
    <row r="48" customFormat="false" ht="15" hidden="false" customHeight="false" outlineLevel="0" collapsed="false">
      <c r="B48" s="8" t="s">
        <v>211</v>
      </c>
      <c r="C48" s="9" t="n">
        <f aca="false">COUNTIF(F5:F43,"AGUARDANDO")</f>
        <v>11</v>
      </c>
    </row>
    <row r="49" customFormat="false" ht="15" hidden="false" customHeight="false" outlineLevel="0" collapsed="false">
      <c r="B49" s="8" t="s">
        <v>212</v>
      </c>
      <c r="C49" s="9" t="n">
        <f aca="false">COUNTA(A5:A43)</f>
        <v>39</v>
      </c>
    </row>
  </sheetData>
  <autoFilter ref="A4:J43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43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3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213</v>
      </c>
      <c r="B1" s="1"/>
      <c r="C1" s="1"/>
      <c r="D1" s="1"/>
      <c r="E1" s="1"/>
    </row>
    <row r="2" customFormat="false" ht="18" hidden="false" customHeight="true" outlineLevel="0" collapsed="false">
      <c r="A2" s="2" t="s">
        <v>214</v>
      </c>
      <c r="B2" s="2"/>
      <c r="C2" s="2"/>
      <c r="D2" s="2"/>
      <c r="E2" s="2"/>
    </row>
    <row r="4" customFormat="false" ht="30" hidden="false" customHeight="true" outlineLevel="0" collapsed="false">
      <c r="A4" s="3" t="s">
        <v>215</v>
      </c>
      <c r="B4" s="3" t="s">
        <v>216</v>
      </c>
      <c r="C4" s="3" t="s">
        <v>217</v>
      </c>
      <c r="D4" s="3" t="s">
        <v>218</v>
      </c>
      <c r="E4" s="3" t="s">
        <v>219</v>
      </c>
    </row>
    <row r="5" customFormat="false" ht="57.75" hidden="false" customHeight="true" outlineLevel="0" collapsed="false">
      <c r="A5" s="5" t="s">
        <v>23</v>
      </c>
      <c r="B5" s="5" t="s">
        <v>220</v>
      </c>
      <c r="C5" s="5" t="s">
        <v>221</v>
      </c>
      <c r="D5" s="5" t="s">
        <v>222</v>
      </c>
      <c r="E5" s="5" t="s">
        <v>223</v>
      </c>
    </row>
    <row r="6" customFormat="false" ht="57.75" hidden="false" customHeight="true" outlineLevel="0" collapsed="false">
      <c r="A6" s="10" t="s">
        <v>28</v>
      </c>
      <c r="B6" s="10" t="s">
        <v>224</v>
      </c>
      <c r="C6" s="10" t="s">
        <v>225</v>
      </c>
      <c r="D6" s="10" t="s">
        <v>226</v>
      </c>
      <c r="E6" s="10" t="s">
        <v>227</v>
      </c>
    </row>
    <row r="7" customFormat="false" ht="57.75" hidden="false" customHeight="true" outlineLevel="0" collapsed="false">
      <c r="A7" s="5" t="s">
        <v>228</v>
      </c>
      <c r="B7" s="5" t="s">
        <v>229</v>
      </c>
      <c r="C7" s="5" t="s">
        <v>230</v>
      </c>
      <c r="D7" s="5" t="s">
        <v>231</v>
      </c>
      <c r="E7" s="5" t="s">
        <v>232</v>
      </c>
    </row>
    <row r="8" customFormat="false" ht="57.75" hidden="false" customHeight="true" outlineLevel="0" collapsed="false">
      <c r="A8" s="10" t="s">
        <v>43</v>
      </c>
      <c r="B8" s="10" t="s">
        <v>233</v>
      </c>
      <c r="C8" s="10" t="s">
        <v>234</v>
      </c>
      <c r="D8" s="10" t="s">
        <v>235</v>
      </c>
      <c r="E8" s="10" t="s">
        <v>236</v>
      </c>
    </row>
    <row r="9" customFormat="false" ht="57.75" hidden="false" customHeight="true" outlineLevel="0" collapsed="false">
      <c r="A9" s="5" t="s">
        <v>165</v>
      </c>
      <c r="B9" s="5" t="s">
        <v>237</v>
      </c>
      <c r="C9" s="5" t="s">
        <v>238</v>
      </c>
      <c r="D9" s="5" t="s">
        <v>239</v>
      </c>
      <c r="E9" s="5" t="s">
        <v>240</v>
      </c>
    </row>
    <row r="10" customFormat="false" ht="57.75" hidden="false" customHeight="true" outlineLevel="0" collapsed="false">
      <c r="A10" s="10" t="s">
        <v>241</v>
      </c>
      <c r="B10" s="10" t="s">
        <v>242</v>
      </c>
      <c r="C10" s="10" t="s">
        <v>243</v>
      </c>
      <c r="D10" s="10" t="s">
        <v>244</v>
      </c>
      <c r="E10" s="10" t="s">
        <v>245</v>
      </c>
    </row>
    <row r="11" customFormat="false" ht="57.75" hidden="false" customHeight="true" outlineLevel="0" collapsed="false">
      <c r="A11" s="5" t="s">
        <v>246</v>
      </c>
      <c r="B11" s="5" t="s">
        <v>247</v>
      </c>
      <c r="C11" s="5" t="s">
        <v>248</v>
      </c>
      <c r="D11" s="5" t="s">
        <v>249</v>
      </c>
      <c r="E11" s="5" t="s">
        <v>250</v>
      </c>
    </row>
    <row r="12" customFormat="false" ht="57.75" hidden="false" customHeight="true" outlineLevel="0" collapsed="false">
      <c r="A12" s="10" t="s">
        <v>251</v>
      </c>
      <c r="B12" s="10" t="s">
        <v>247</v>
      </c>
      <c r="C12" s="10" t="s">
        <v>248</v>
      </c>
      <c r="D12" s="10" t="s">
        <v>249</v>
      </c>
      <c r="E12" s="10" t="s">
        <v>250</v>
      </c>
    </row>
    <row r="13" customFormat="false" ht="57.75" hidden="false" customHeight="true" outlineLevel="0" collapsed="false">
      <c r="A13" s="5" t="s">
        <v>252</v>
      </c>
      <c r="B13" s="5" t="s">
        <v>247</v>
      </c>
      <c r="C13" s="5" t="s">
        <v>248</v>
      </c>
      <c r="D13" s="5" t="s">
        <v>249</v>
      </c>
      <c r="E13" s="5" t="s">
        <v>250</v>
      </c>
    </row>
    <row r="16" customFormat="false" ht="15" hidden="false" customHeight="false" outlineLevel="0" collapsed="false">
      <c r="A16" s="7" t="s">
        <v>253</v>
      </c>
    </row>
    <row r="17" customFormat="false" ht="25.5" hidden="false" customHeight="true" outlineLevel="0" collapsed="false">
      <c r="A17" s="11" t="s">
        <v>254</v>
      </c>
      <c r="B17" s="11"/>
      <c r="C17" s="11"/>
      <c r="D17" s="11"/>
      <c r="E17" s="11"/>
    </row>
    <row r="18" customFormat="false" ht="25.5" hidden="false" customHeight="true" outlineLevel="0" collapsed="false">
      <c r="A18" s="11" t="s">
        <v>255</v>
      </c>
      <c r="B18" s="11"/>
      <c r="C18" s="11"/>
      <c r="D18" s="11"/>
      <c r="E18" s="11"/>
    </row>
    <row r="19" customFormat="false" ht="25.5" hidden="false" customHeight="true" outlineLevel="0" collapsed="false">
      <c r="A19" s="11" t="s">
        <v>256</v>
      </c>
      <c r="B19" s="11"/>
      <c r="C19" s="11"/>
      <c r="D19" s="11"/>
      <c r="E19" s="11"/>
    </row>
    <row r="20" customFormat="false" ht="25.5" hidden="false" customHeight="true" outlineLevel="0" collapsed="false">
      <c r="A20" s="11" t="s">
        <v>257</v>
      </c>
      <c r="B20" s="11"/>
      <c r="C20" s="11"/>
      <c r="D20" s="11"/>
      <c r="E20" s="11"/>
    </row>
    <row r="21" customFormat="false" ht="25.5" hidden="false" customHeight="true" outlineLevel="0" collapsed="false">
      <c r="A21" s="11" t="s">
        <v>258</v>
      </c>
      <c r="B21" s="11"/>
      <c r="C21" s="11"/>
      <c r="D21" s="11"/>
      <c r="E21" s="11"/>
    </row>
  </sheetData>
  <mergeCells count="7">
    <mergeCell ref="A1:E1"/>
    <mergeCell ref="A2:E2"/>
    <mergeCell ref="A17:E17"/>
    <mergeCell ref="A18:E18"/>
    <mergeCell ref="A19:E19"/>
    <mergeCell ref="A20:E20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259</v>
      </c>
      <c r="B1" s="1"/>
      <c r="C1" s="1"/>
      <c r="D1" s="1"/>
      <c r="E1" s="1"/>
    </row>
    <row r="2" customFormat="false" ht="18" hidden="false" customHeight="true" outlineLevel="0" collapsed="false">
      <c r="A2" s="2" t="s">
        <v>260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261</v>
      </c>
      <c r="C4" s="3" t="s">
        <v>262</v>
      </c>
      <c r="D4" s="3" t="s">
        <v>263</v>
      </c>
      <c r="E4" s="3" t="s">
        <v>264</v>
      </c>
    </row>
    <row r="5" customFormat="false" ht="43.5" hidden="false" customHeight="true" outlineLevel="0" collapsed="false">
      <c r="A5" s="5" t="n">
        <v>1</v>
      </c>
      <c r="B5" s="5" t="s">
        <v>265</v>
      </c>
      <c r="C5" s="5" t="s">
        <v>266</v>
      </c>
      <c r="D5" s="5" t="s">
        <v>267</v>
      </c>
      <c r="E5" s="12"/>
    </row>
    <row r="6" customFormat="false" ht="43.5" hidden="false" customHeight="true" outlineLevel="0" collapsed="false">
      <c r="A6" s="5" t="n">
        <v>2</v>
      </c>
      <c r="B6" s="5" t="s">
        <v>268</v>
      </c>
      <c r="C6" s="5" t="s">
        <v>269</v>
      </c>
      <c r="D6" s="5" t="s">
        <v>270</v>
      </c>
      <c r="E6" s="12"/>
    </row>
    <row r="7" customFormat="false" ht="43.5" hidden="false" customHeight="true" outlineLevel="0" collapsed="false">
      <c r="A7" s="5" t="n">
        <v>3</v>
      </c>
      <c r="B7" s="5" t="s">
        <v>271</v>
      </c>
      <c r="C7" s="5" t="s">
        <v>272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273</v>
      </c>
      <c r="C8" s="5" t="s">
        <v>274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275</v>
      </c>
      <c r="C9" s="5" t="s">
        <v>276</v>
      </c>
      <c r="D9" s="5" t="s">
        <v>277</v>
      </c>
      <c r="E9" s="12"/>
    </row>
    <row r="10" customFormat="false" ht="43.5" hidden="false" customHeight="true" outlineLevel="0" collapsed="false">
      <c r="A10" s="5" t="n">
        <v>6</v>
      </c>
      <c r="B10" s="5" t="s">
        <v>278</v>
      </c>
      <c r="C10" s="5" t="s">
        <v>279</v>
      </c>
      <c r="D10" s="5" t="s">
        <v>280</v>
      </c>
      <c r="E10" s="12"/>
    </row>
    <row r="11" customFormat="false" ht="43.5" hidden="false" customHeight="true" outlineLevel="0" collapsed="false">
      <c r="A11" s="5" t="n">
        <v>7</v>
      </c>
      <c r="B11" s="5" t="s">
        <v>281</v>
      </c>
      <c r="C11" s="5" t="s">
        <v>282</v>
      </c>
      <c r="D11" s="5" t="s">
        <v>283</v>
      </c>
      <c r="E11" s="12"/>
    </row>
    <row r="12" customFormat="false" ht="43.5" hidden="false" customHeight="true" outlineLevel="0" collapsed="false">
      <c r="A12" s="5" t="n">
        <v>8</v>
      </c>
      <c r="B12" s="5" t="s">
        <v>284</v>
      </c>
      <c r="C12" s="5" t="s">
        <v>285</v>
      </c>
      <c r="D12" s="5" t="s">
        <v>286</v>
      </c>
      <c r="E12" s="12"/>
    </row>
    <row r="13" customFormat="false" ht="43.5" hidden="false" customHeight="true" outlineLevel="0" collapsed="false">
      <c r="A13" s="5" t="n">
        <v>9</v>
      </c>
      <c r="B13" s="5" t="s">
        <v>287</v>
      </c>
      <c r="C13" s="5" t="s">
        <v>288</v>
      </c>
      <c r="D13" s="5" t="s">
        <v>267</v>
      </c>
      <c r="E13" s="12"/>
    </row>
    <row r="14" customFormat="false" ht="43.5" hidden="false" customHeight="true" outlineLevel="0" collapsed="false">
      <c r="A14" s="5" t="n">
        <v>10</v>
      </c>
      <c r="B14" s="5" t="s">
        <v>289</v>
      </c>
      <c r="C14" s="5" t="s">
        <v>290</v>
      </c>
      <c r="D14" s="5" t="s">
        <v>267</v>
      </c>
      <c r="E14" s="12"/>
    </row>
    <row r="17" customFormat="false" ht="15" hidden="false" customHeight="false" outlineLevel="0" collapsed="false">
      <c r="B17" s="13" t="s">
        <v>291</v>
      </c>
    </row>
    <row r="18" customFormat="false" ht="15" hidden="false" customHeight="false" outlineLevel="0" collapsed="false">
      <c r="A18" s="5" t="s">
        <v>292</v>
      </c>
      <c r="B18" s="5" t="s">
        <v>293</v>
      </c>
      <c r="C18" s="5" t="s">
        <v>15</v>
      </c>
      <c r="D18" s="5" t="s">
        <v>267</v>
      </c>
      <c r="E18" s="12" t="s">
        <v>294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295</v>
      </c>
      <c r="B1" s="1"/>
    </row>
    <row r="2" customFormat="false" ht="18" hidden="false" customHeight="true" outlineLevel="0" collapsed="false">
      <c r="A2" s="2" t="s">
        <v>296</v>
      </c>
      <c r="B2" s="2"/>
    </row>
    <row r="4" customFormat="false" ht="39.75" hidden="false" customHeight="true" outlineLevel="0" collapsed="false">
      <c r="A4" s="14" t="s">
        <v>297</v>
      </c>
      <c r="B4" s="15" t="s">
        <v>298</v>
      </c>
    </row>
    <row r="6" customFormat="false" ht="39.75" hidden="false" customHeight="true" outlineLevel="0" collapsed="false">
      <c r="A6" s="14" t="s">
        <v>299</v>
      </c>
      <c r="B6" s="15" t="s">
        <v>300</v>
      </c>
    </row>
    <row r="8" customFormat="false" ht="39.75" hidden="false" customHeight="true" outlineLevel="0" collapsed="false">
      <c r="A8" s="14" t="s">
        <v>301</v>
      </c>
      <c r="B8" s="15" t="s">
        <v>302</v>
      </c>
    </row>
    <row r="10" customFormat="false" ht="39.75" hidden="false" customHeight="true" outlineLevel="0" collapsed="false">
      <c r="A10" s="14" t="s">
        <v>303</v>
      </c>
      <c r="B10" s="15" t="s">
        <v>304</v>
      </c>
    </row>
    <row r="12" customFormat="false" ht="39.75" hidden="false" customHeight="true" outlineLevel="0" collapsed="false">
      <c r="A12" s="14" t="s">
        <v>305</v>
      </c>
      <c r="B12" s="15" t="s">
        <v>306</v>
      </c>
    </row>
    <row r="14" customFormat="false" ht="39.75" hidden="false" customHeight="true" outlineLevel="0" collapsed="false">
      <c r="A14" s="14" t="s">
        <v>307</v>
      </c>
      <c r="B14" s="15" t="s">
        <v>308</v>
      </c>
    </row>
    <row r="16" customFormat="false" ht="39.75" hidden="false" customHeight="true" outlineLevel="0" collapsed="false">
      <c r="A16" s="14" t="s">
        <v>309</v>
      </c>
      <c r="B16" s="15" t="s">
        <v>310</v>
      </c>
    </row>
    <row r="18" customFormat="false" ht="39.75" hidden="false" customHeight="true" outlineLevel="0" collapsed="false">
      <c r="A18" s="14" t="s">
        <v>311</v>
      </c>
      <c r="B18" s="15" t="s">
        <v>312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313</v>
      </c>
      <c r="B1" s="1"/>
      <c r="C1" s="1"/>
      <c r="D1" s="1"/>
    </row>
    <row r="2" customFormat="false" ht="18" hidden="false" customHeight="true" outlineLevel="0" collapsed="false">
      <c r="A2" s="2" t="s">
        <v>314</v>
      </c>
      <c r="B2" s="2"/>
      <c r="C2" s="2"/>
      <c r="D2" s="2"/>
    </row>
    <row r="4" customFormat="false" ht="30" hidden="false" customHeight="true" outlineLevel="0" collapsed="false">
      <c r="A4" s="3" t="s">
        <v>315</v>
      </c>
      <c r="B4" s="3" t="s">
        <v>316</v>
      </c>
      <c r="C4" s="3" t="s">
        <v>317</v>
      </c>
      <c r="D4" s="3" t="s">
        <v>318</v>
      </c>
    </row>
    <row r="5" customFormat="false" ht="57.75" hidden="false" customHeight="true" outlineLevel="0" collapsed="false">
      <c r="A5" s="10" t="s">
        <v>319</v>
      </c>
      <c r="B5" s="10" t="s">
        <v>320</v>
      </c>
      <c r="C5" s="10" t="s">
        <v>321</v>
      </c>
      <c r="D5" s="10" t="s">
        <v>322</v>
      </c>
    </row>
    <row r="6" customFormat="false" ht="57.75" hidden="false" customHeight="true" outlineLevel="0" collapsed="false">
      <c r="A6" s="5" t="s">
        <v>323</v>
      </c>
      <c r="B6" s="5" t="s">
        <v>324</v>
      </c>
      <c r="C6" s="5" t="s">
        <v>325</v>
      </c>
      <c r="D6" s="5" t="s">
        <v>326</v>
      </c>
    </row>
    <row r="7" customFormat="false" ht="57.75" hidden="false" customHeight="true" outlineLevel="0" collapsed="false">
      <c r="A7" s="10" t="s">
        <v>327</v>
      </c>
      <c r="B7" s="10" t="s">
        <v>328</v>
      </c>
      <c r="C7" s="10" t="s">
        <v>329</v>
      </c>
      <c r="D7" s="10" t="s">
        <v>330</v>
      </c>
    </row>
    <row r="8" customFormat="false" ht="57.75" hidden="false" customHeight="true" outlineLevel="0" collapsed="false">
      <c r="A8" s="5" t="s">
        <v>331</v>
      </c>
      <c r="B8" s="5" t="s">
        <v>332</v>
      </c>
      <c r="C8" s="5" t="s">
        <v>333</v>
      </c>
      <c r="D8" s="5" t="s">
        <v>334</v>
      </c>
    </row>
    <row r="9" customFormat="false" ht="57.75" hidden="false" customHeight="true" outlineLevel="0" collapsed="false">
      <c r="A9" s="10" t="s">
        <v>335</v>
      </c>
      <c r="B9" s="10" t="s">
        <v>336</v>
      </c>
      <c r="C9" s="10" t="s">
        <v>337</v>
      </c>
      <c r="D9" s="10" t="s">
        <v>338</v>
      </c>
    </row>
    <row r="10" customFormat="false" ht="57.75" hidden="false" customHeight="true" outlineLevel="0" collapsed="false">
      <c r="A10" s="5" t="s">
        <v>339</v>
      </c>
      <c r="B10" s="5" t="s">
        <v>340</v>
      </c>
      <c r="C10" s="5" t="s">
        <v>341</v>
      </c>
      <c r="D10" s="5" t="s">
        <v>342</v>
      </c>
    </row>
    <row r="11" customFormat="false" ht="57.75" hidden="false" customHeight="true" outlineLevel="0" collapsed="false">
      <c r="A11" s="10" t="s">
        <v>343</v>
      </c>
      <c r="B11" s="10" t="s">
        <v>344</v>
      </c>
      <c r="C11" s="10" t="s">
        <v>345</v>
      </c>
      <c r="D11" s="10" t="s">
        <v>346</v>
      </c>
    </row>
    <row r="12" customFormat="false" ht="57.75" hidden="false" customHeight="true" outlineLevel="0" collapsed="false">
      <c r="A12" s="5" t="s">
        <v>347</v>
      </c>
      <c r="B12" s="5" t="s">
        <v>348</v>
      </c>
      <c r="C12" s="5" t="s">
        <v>349</v>
      </c>
      <c r="D12" s="5" t="s">
        <v>350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351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352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353</v>
      </c>
      <c r="B4" s="3" t="s">
        <v>354</v>
      </c>
      <c r="C4" s="3" t="s">
        <v>2</v>
      </c>
      <c r="D4" s="3" t="s">
        <v>355</v>
      </c>
      <c r="E4" s="3" t="s">
        <v>356</v>
      </c>
      <c r="F4" s="3" t="s">
        <v>357</v>
      </c>
      <c r="G4" s="3" t="s">
        <v>358</v>
      </c>
      <c r="H4" s="3" t="s">
        <v>359</v>
      </c>
    </row>
    <row r="5" customFormat="false" ht="45.75" hidden="false" customHeight="true" outlineLevel="0" collapsed="false">
      <c r="A5" s="10" t="s">
        <v>360</v>
      </c>
      <c r="B5" s="10" t="s">
        <v>28</v>
      </c>
      <c r="C5" s="10" t="s">
        <v>15</v>
      </c>
      <c r="D5" s="10" t="s">
        <v>361</v>
      </c>
      <c r="E5" s="10" t="s">
        <v>15</v>
      </c>
      <c r="F5" s="10" t="s">
        <v>362</v>
      </c>
      <c r="G5" s="10" t="s">
        <v>363</v>
      </c>
      <c r="H5" s="10" t="s">
        <v>364</v>
      </c>
    </row>
    <row r="6" customFormat="false" ht="45.75" hidden="false" customHeight="true" outlineLevel="0" collapsed="false">
      <c r="A6" s="5" t="s">
        <v>360</v>
      </c>
      <c r="B6" s="5" t="s">
        <v>28</v>
      </c>
      <c r="C6" s="5" t="s">
        <v>365</v>
      </c>
      <c r="D6" s="5" t="s">
        <v>7</v>
      </c>
      <c r="E6" s="5" t="s">
        <v>87</v>
      </c>
      <c r="F6" s="5" t="s">
        <v>53</v>
      </c>
      <c r="G6" s="5" t="s">
        <v>366</v>
      </c>
      <c r="H6" s="5" t="s">
        <v>367</v>
      </c>
    </row>
    <row r="7" customFormat="false" ht="45.75" hidden="false" customHeight="true" outlineLevel="0" collapsed="false">
      <c r="A7" s="10" t="s">
        <v>360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368</v>
      </c>
      <c r="H7" s="10" t="s">
        <v>367</v>
      </c>
    </row>
    <row r="8" customFormat="false" ht="45.75" hidden="false" customHeight="true" outlineLevel="0" collapsed="false">
      <c r="A8" s="5" t="s">
        <v>360</v>
      </c>
      <c r="B8" s="5" t="s">
        <v>28</v>
      </c>
      <c r="C8" s="5" t="s">
        <v>369</v>
      </c>
      <c r="D8" s="5" t="s">
        <v>7</v>
      </c>
      <c r="E8" s="5" t="s">
        <v>53</v>
      </c>
      <c r="F8" s="5" t="s">
        <v>87</v>
      </c>
      <c r="G8" s="5" t="s">
        <v>370</v>
      </c>
      <c r="H8" s="5" t="s">
        <v>367</v>
      </c>
    </row>
    <row r="9" customFormat="false" ht="45.75" hidden="false" customHeight="true" outlineLevel="0" collapsed="false">
      <c r="A9" s="10" t="s">
        <v>371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372</v>
      </c>
      <c r="H9" s="10" t="s">
        <v>373</v>
      </c>
    </row>
    <row r="10" customFormat="false" ht="45.75" hidden="false" customHeight="true" outlineLevel="0" collapsed="false">
      <c r="A10" s="5" t="s">
        <v>371</v>
      </c>
      <c r="B10" s="5" t="s">
        <v>14</v>
      </c>
      <c r="C10" s="5" t="s">
        <v>374</v>
      </c>
      <c r="D10" s="5" t="s">
        <v>7</v>
      </c>
      <c r="E10" s="5" t="s">
        <v>53</v>
      </c>
      <c r="F10" s="5" t="s">
        <v>16</v>
      </c>
      <c r="G10" s="5" t="s">
        <v>375</v>
      </c>
      <c r="H10" s="5" t="s">
        <v>373</v>
      </c>
    </row>
    <row r="11" customFormat="false" ht="45.75" hidden="false" customHeight="true" outlineLevel="0" collapsed="false">
      <c r="A11" s="10" t="s">
        <v>371</v>
      </c>
      <c r="B11" s="10" t="s">
        <v>28</v>
      </c>
      <c r="C11" s="10" t="s">
        <v>376</v>
      </c>
      <c r="D11" s="10" t="s">
        <v>7</v>
      </c>
      <c r="E11" s="10" t="s">
        <v>87</v>
      </c>
      <c r="F11" s="10" t="s">
        <v>53</v>
      </c>
      <c r="G11" s="10" t="s">
        <v>377</v>
      </c>
      <c r="H11" s="10" t="s">
        <v>373</v>
      </c>
    </row>
    <row r="12" customFormat="false" ht="45.75" hidden="false" customHeight="true" outlineLevel="0" collapsed="false">
      <c r="A12" s="5" t="s">
        <v>371</v>
      </c>
      <c r="B12" s="5" t="s">
        <v>28</v>
      </c>
      <c r="C12" s="5" t="s">
        <v>378</v>
      </c>
      <c r="D12" s="5" t="s">
        <v>361</v>
      </c>
      <c r="E12" s="5" t="s">
        <v>15</v>
      </c>
      <c r="F12" s="5" t="s">
        <v>53</v>
      </c>
      <c r="G12" s="5" t="s">
        <v>379</v>
      </c>
      <c r="H12" s="5" t="s">
        <v>380</v>
      </c>
    </row>
    <row r="13" customFormat="false" ht="45.75" hidden="false" customHeight="true" outlineLevel="0" collapsed="false">
      <c r="A13" s="10" t="s">
        <v>371</v>
      </c>
      <c r="B13" s="10" t="s">
        <v>28</v>
      </c>
      <c r="C13" s="10" t="s">
        <v>381</v>
      </c>
      <c r="D13" s="10" t="s">
        <v>361</v>
      </c>
      <c r="E13" s="10" t="s">
        <v>15</v>
      </c>
      <c r="F13" s="10" t="s">
        <v>53</v>
      </c>
      <c r="G13" s="10" t="s">
        <v>382</v>
      </c>
      <c r="H13" s="10" t="s">
        <v>380</v>
      </c>
    </row>
    <row r="14" customFormat="false" ht="45.75" hidden="false" customHeight="true" outlineLevel="0" collapsed="false">
      <c r="A14" s="5" t="s">
        <v>371</v>
      </c>
      <c r="B14" s="5" t="s">
        <v>28</v>
      </c>
      <c r="C14" s="5" t="s">
        <v>181</v>
      </c>
      <c r="D14" s="5" t="s">
        <v>5</v>
      </c>
      <c r="E14" s="5" t="s">
        <v>28</v>
      </c>
      <c r="F14" s="5" t="s">
        <v>165</v>
      </c>
      <c r="G14" s="5" t="s">
        <v>383</v>
      </c>
      <c r="H14" s="5" t="s">
        <v>384</v>
      </c>
    </row>
    <row r="15" customFormat="false" ht="45.75" hidden="false" customHeight="true" outlineLevel="0" collapsed="false">
      <c r="A15" s="10" t="s">
        <v>371</v>
      </c>
      <c r="B15" s="10" t="s">
        <v>28</v>
      </c>
      <c r="C15" s="10" t="s">
        <v>385</v>
      </c>
      <c r="D15" s="10" t="s">
        <v>7</v>
      </c>
      <c r="E15" s="10" t="s">
        <v>87</v>
      </c>
      <c r="F15" s="10" t="s">
        <v>16</v>
      </c>
      <c r="G15" s="10" t="s">
        <v>386</v>
      </c>
      <c r="H15" s="10" t="s">
        <v>384</v>
      </c>
    </row>
    <row r="16" customFormat="false" ht="45.75" hidden="false" customHeight="true" outlineLevel="0" collapsed="false">
      <c r="A16" s="5" t="s">
        <v>371</v>
      </c>
      <c r="B16" s="5" t="s">
        <v>28</v>
      </c>
      <c r="C16" s="5" t="s">
        <v>15</v>
      </c>
      <c r="D16" s="5" t="s">
        <v>387</v>
      </c>
      <c r="E16" s="5" t="s">
        <v>388</v>
      </c>
      <c r="F16" s="5" t="s">
        <v>389</v>
      </c>
      <c r="G16" s="5" t="s">
        <v>390</v>
      </c>
      <c r="H16" s="5" t="s">
        <v>391</v>
      </c>
    </row>
    <row r="17" customFormat="false" ht="45.75" hidden="false" customHeight="true" outlineLevel="0" collapsed="false">
      <c r="A17" s="10" t="s">
        <v>371</v>
      </c>
      <c r="B17" s="10" t="s">
        <v>28</v>
      </c>
      <c r="C17" s="10" t="s">
        <v>15</v>
      </c>
      <c r="D17" s="10" t="s">
        <v>392</v>
      </c>
      <c r="E17" s="10" t="s">
        <v>393</v>
      </c>
      <c r="F17" s="10" t="s">
        <v>394</v>
      </c>
      <c r="G17" s="10" t="s">
        <v>395</v>
      </c>
      <c r="H17" s="10" t="s">
        <v>384</v>
      </c>
    </row>
    <row r="18" customFormat="false" ht="45.75" hidden="false" customHeight="true" outlineLevel="0" collapsed="false">
      <c r="A18" s="5" t="s">
        <v>371</v>
      </c>
      <c r="B18" s="5" t="s">
        <v>28</v>
      </c>
      <c r="C18" s="5" t="s">
        <v>15</v>
      </c>
      <c r="D18" s="5" t="s">
        <v>396</v>
      </c>
      <c r="E18" s="5" t="s">
        <v>397</v>
      </c>
      <c r="F18" s="5" t="s">
        <v>398</v>
      </c>
      <c r="G18" s="5" t="s">
        <v>399</v>
      </c>
      <c r="H18" s="5" t="s">
        <v>400</v>
      </c>
    </row>
    <row r="19" customFormat="false" ht="45.75" hidden="false" customHeight="true" outlineLevel="0" collapsed="false">
      <c r="A19" s="10" t="s">
        <v>371</v>
      </c>
      <c r="B19" s="10" t="s">
        <v>28</v>
      </c>
      <c r="C19" s="10" t="s">
        <v>401</v>
      </c>
      <c r="D19" s="10" t="s">
        <v>361</v>
      </c>
      <c r="E19" s="10" t="s">
        <v>15</v>
      </c>
      <c r="F19" s="10" t="s">
        <v>53</v>
      </c>
      <c r="G19" s="10" t="s">
        <v>402</v>
      </c>
      <c r="H19" s="10" t="s">
        <v>403</v>
      </c>
    </row>
    <row r="20" customFormat="false" ht="45.75" hidden="false" customHeight="true" outlineLevel="0" collapsed="false">
      <c r="A20" s="5" t="s">
        <v>371</v>
      </c>
      <c r="B20" s="5" t="s">
        <v>28</v>
      </c>
      <c r="C20" s="5" t="s">
        <v>15</v>
      </c>
      <c r="D20" s="5" t="s">
        <v>392</v>
      </c>
      <c r="E20" s="5" t="s">
        <v>394</v>
      </c>
      <c r="F20" s="5" t="s">
        <v>404</v>
      </c>
      <c r="G20" s="5" t="s">
        <v>405</v>
      </c>
      <c r="H20" s="5" t="s">
        <v>384</v>
      </c>
    </row>
    <row r="21" customFormat="false" ht="45.75" hidden="false" customHeight="true" outlineLevel="0" collapsed="false">
      <c r="A21" s="10" t="s">
        <v>371</v>
      </c>
      <c r="B21" s="10" t="s">
        <v>28</v>
      </c>
      <c r="C21" s="10" t="s">
        <v>15</v>
      </c>
      <c r="D21" s="10" t="s">
        <v>406</v>
      </c>
      <c r="E21" s="10" t="s">
        <v>407</v>
      </c>
      <c r="F21" s="10" t="s">
        <v>408</v>
      </c>
      <c r="G21" s="10" t="s">
        <v>409</v>
      </c>
      <c r="H21" s="10" t="s">
        <v>364</v>
      </c>
    </row>
    <row r="22" customFormat="false" ht="15" hidden="false" customHeight="false" outlineLevel="0" collapsed="false">
      <c r="A22" s="16" t="s">
        <v>410</v>
      </c>
      <c r="B22" s="17"/>
      <c r="C22" s="17"/>
      <c r="D22" s="17"/>
      <c r="E22" s="17"/>
      <c r="F22" s="17"/>
      <c r="G22" s="17"/>
      <c r="H22" s="17"/>
    </row>
  </sheetData>
  <autoFilter ref="A4:H21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411</v>
      </c>
      <c r="B1" s="1"/>
      <c r="C1" s="1"/>
      <c r="D1" s="1"/>
      <c r="E1" s="1"/>
    </row>
    <row r="2" customFormat="false" ht="18" hidden="false" customHeight="true" outlineLevel="0" collapsed="false">
      <c r="A2" s="2" t="s">
        <v>412</v>
      </c>
      <c r="B2" s="2"/>
      <c r="C2" s="2"/>
      <c r="D2" s="2"/>
      <c r="E2" s="2"/>
    </row>
    <row r="4" customFormat="false" ht="30" hidden="false" customHeight="true" outlineLevel="0" collapsed="false">
      <c r="A4" s="3" t="s">
        <v>413</v>
      </c>
      <c r="B4" s="3" t="s">
        <v>414</v>
      </c>
      <c r="C4" s="3" t="s">
        <v>415</v>
      </c>
      <c r="D4" s="3" t="s">
        <v>416</v>
      </c>
      <c r="E4" s="3" t="s">
        <v>297</v>
      </c>
    </row>
    <row r="5" customFormat="false" ht="55.5" hidden="false" customHeight="true" outlineLevel="0" collapsed="false">
      <c r="A5" s="10" t="s">
        <v>417</v>
      </c>
      <c r="B5" s="10" t="s">
        <v>418</v>
      </c>
      <c r="C5" s="10" t="s">
        <v>419</v>
      </c>
      <c r="D5" s="10" t="s">
        <v>420</v>
      </c>
      <c r="E5" s="10" t="s">
        <v>421</v>
      </c>
    </row>
    <row r="6" customFormat="false" ht="55.5" hidden="false" customHeight="true" outlineLevel="0" collapsed="false">
      <c r="A6" s="5" t="s">
        <v>422</v>
      </c>
      <c r="B6" s="5" t="s">
        <v>423</v>
      </c>
      <c r="C6" s="5" t="s">
        <v>424</v>
      </c>
      <c r="D6" s="5" t="s">
        <v>425</v>
      </c>
      <c r="E6" s="5" t="s">
        <v>426</v>
      </c>
    </row>
    <row r="7" customFormat="false" ht="55.5" hidden="false" customHeight="true" outlineLevel="0" collapsed="false">
      <c r="A7" s="10" t="s">
        <v>427</v>
      </c>
      <c r="B7" s="10" t="s">
        <v>428</v>
      </c>
      <c r="C7" s="10" t="s">
        <v>429</v>
      </c>
      <c r="D7" s="10" t="s">
        <v>430</v>
      </c>
      <c r="E7" s="10" t="s">
        <v>431</v>
      </c>
    </row>
    <row r="8" customFormat="false" ht="55.5" hidden="false" customHeight="true" outlineLevel="0" collapsed="false">
      <c r="A8" s="5" t="s">
        <v>432</v>
      </c>
      <c r="B8" s="5" t="s">
        <v>433</v>
      </c>
      <c r="C8" s="5" t="s">
        <v>434</v>
      </c>
      <c r="D8" s="5" t="s">
        <v>435</v>
      </c>
      <c r="E8" s="5" t="s">
        <v>436</v>
      </c>
    </row>
    <row r="9" customFormat="false" ht="55.5" hidden="false" customHeight="true" outlineLevel="0" collapsed="false">
      <c r="A9" s="10" t="s">
        <v>437</v>
      </c>
      <c r="B9" s="10" t="s">
        <v>438</v>
      </c>
      <c r="C9" s="10" t="s">
        <v>439</v>
      </c>
      <c r="D9" s="10" t="s">
        <v>440</v>
      </c>
      <c r="E9" s="10" t="s">
        <v>441</v>
      </c>
    </row>
    <row r="10" customFormat="false" ht="55.5" hidden="false" customHeight="true" outlineLevel="0" collapsed="false">
      <c r="A10" s="5" t="s">
        <v>442</v>
      </c>
      <c r="B10" s="5" t="s">
        <v>443</v>
      </c>
      <c r="C10" s="5" t="s">
        <v>444</v>
      </c>
      <c r="D10" s="5" t="s">
        <v>445</v>
      </c>
      <c r="E10" s="5" t="s">
        <v>446</v>
      </c>
    </row>
    <row r="11" customFormat="false" ht="55.5" hidden="false" customHeight="true" outlineLevel="0" collapsed="false">
      <c r="A11" s="10" t="s">
        <v>447</v>
      </c>
      <c r="B11" s="10" t="s">
        <v>448</v>
      </c>
      <c r="C11" s="10" t="s">
        <v>449</v>
      </c>
      <c r="D11" s="10" t="s">
        <v>450</v>
      </c>
      <c r="E11" s="10" t="s">
        <v>451</v>
      </c>
    </row>
    <row r="12" customFormat="false" ht="55.5" hidden="false" customHeight="true" outlineLevel="0" collapsed="false">
      <c r="A12" s="5" t="s">
        <v>452</v>
      </c>
      <c r="B12" s="5" t="s">
        <v>453</v>
      </c>
      <c r="C12" s="5" t="s">
        <v>454</v>
      </c>
      <c r="D12" s="5" t="s">
        <v>455</v>
      </c>
      <c r="E12" s="5" t="s">
        <v>456</v>
      </c>
    </row>
    <row r="13" customFormat="false" ht="55.5" hidden="false" customHeight="true" outlineLevel="0" collapsed="false">
      <c r="A13" s="10" t="s">
        <v>457</v>
      </c>
      <c r="B13" s="10" t="s">
        <v>458</v>
      </c>
      <c r="C13" s="10" t="s">
        <v>459</v>
      </c>
      <c r="D13" s="10" t="s">
        <v>460</v>
      </c>
      <c r="E13" s="10" t="s">
        <v>461</v>
      </c>
    </row>
    <row r="14" customFormat="false" ht="55.5" hidden="false" customHeight="true" outlineLevel="0" collapsed="false">
      <c r="A14" s="5" t="s">
        <v>462</v>
      </c>
      <c r="B14" s="5" t="s">
        <v>463</v>
      </c>
      <c r="C14" s="5" t="s">
        <v>464</v>
      </c>
      <c r="D14" s="5" t="s">
        <v>465</v>
      </c>
      <c r="E14" s="5" t="s">
        <v>466</v>
      </c>
    </row>
    <row r="15" customFormat="false" ht="55.5" hidden="false" customHeight="true" outlineLevel="0" collapsed="false">
      <c r="A15" s="10" t="s">
        <v>467</v>
      </c>
      <c r="B15" s="10" t="s">
        <v>468</v>
      </c>
      <c r="C15" s="10" t="s">
        <v>469</v>
      </c>
      <c r="D15" s="10" t="s">
        <v>470</v>
      </c>
      <c r="E15" s="10" t="s">
        <v>471</v>
      </c>
    </row>
    <row r="16" customFormat="false" ht="55.5" hidden="false" customHeight="true" outlineLevel="0" collapsed="false">
      <c r="A16" s="5" t="s">
        <v>472</v>
      </c>
      <c r="B16" s="5" t="s">
        <v>473</v>
      </c>
      <c r="C16" s="5" t="s">
        <v>474</v>
      </c>
      <c r="D16" s="5" t="s">
        <v>475</v>
      </c>
      <c r="E16" s="5" t="s">
        <v>476</v>
      </c>
    </row>
    <row r="17" customFormat="false" ht="55.5" hidden="false" customHeight="true" outlineLevel="0" collapsed="false">
      <c r="A17" s="10" t="s">
        <v>477</v>
      </c>
      <c r="B17" s="10" t="s">
        <v>478</v>
      </c>
      <c r="C17" s="10" t="s">
        <v>479</v>
      </c>
      <c r="D17" s="10" t="s">
        <v>480</v>
      </c>
      <c r="E17" s="10" t="s">
        <v>481</v>
      </c>
    </row>
    <row r="18" customFormat="false" ht="55.5" hidden="false" customHeight="true" outlineLevel="0" collapsed="false">
      <c r="A18" s="5" t="s">
        <v>482</v>
      </c>
      <c r="B18" s="5" t="s">
        <v>483</v>
      </c>
      <c r="C18" s="5" t="s">
        <v>484</v>
      </c>
      <c r="D18" s="5" t="s">
        <v>485</v>
      </c>
      <c r="E18" s="5" t="s">
        <v>486</v>
      </c>
    </row>
    <row r="19" customFormat="false" ht="55.5" hidden="false" customHeight="true" outlineLevel="0" collapsed="false">
      <c r="A19" s="10" t="s">
        <v>487</v>
      </c>
      <c r="B19" s="10" t="s">
        <v>488</v>
      </c>
      <c r="C19" s="10" t="s">
        <v>489</v>
      </c>
      <c r="D19" s="10" t="s">
        <v>490</v>
      </c>
      <c r="E19" s="10" t="s">
        <v>491</v>
      </c>
    </row>
    <row r="20" customFormat="false" ht="55.5" hidden="false" customHeight="true" outlineLevel="0" collapsed="false">
      <c r="A20" s="5" t="s">
        <v>492</v>
      </c>
      <c r="B20" s="5" t="s">
        <v>493</v>
      </c>
      <c r="C20" s="5" t="s">
        <v>494</v>
      </c>
      <c r="D20" s="5" t="s">
        <v>495</v>
      </c>
      <c r="E20" s="5" t="s">
        <v>496</v>
      </c>
    </row>
    <row r="21" customFormat="false" ht="55.5" hidden="false" customHeight="true" outlineLevel="0" collapsed="false">
      <c r="A21" s="10" t="s">
        <v>497</v>
      </c>
      <c r="B21" s="10" t="s">
        <v>498</v>
      </c>
      <c r="C21" s="10" t="s">
        <v>499</v>
      </c>
      <c r="D21" s="10" t="s">
        <v>500</v>
      </c>
      <c r="E21" s="10" t="s">
        <v>501</v>
      </c>
    </row>
    <row r="22" customFormat="false" ht="55.5" hidden="false" customHeight="true" outlineLevel="0" collapsed="false">
      <c r="A22" s="5" t="s">
        <v>502</v>
      </c>
      <c r="B22" s="5" t="s">
        <v>503</v>
      </c>
      <c r="C22" s="5" t="s">
        <v>504</v>
      </c>
      <c r="D22" s="5" t="s">
        <v>505</v>
      </c>
      <c r="E22" s="5" t="s">
        <v>506</v>
      </c>
    </row>
    <row r="23" customFormat="false" ht="55.5" hidden="false" customHeight="true" outlineLevel="0" collapsed="false">
      <c r="A23" s="10" t="s">
        <v>507</v>
      </c>
      <c r="B23" s="10" t="s">
        <v>508</v>
      </c>
      <c r="C23" s="10" t="s">
        <v>509</v>
      </c>
      <c r="D23" s="10" t="s">
        <v>510</v>
      </c>
      <c r="E23" s="10" t="s">
        <v>511</v>
      </c>
    </row>
    <row r="24" customFormat="false" ht="55.5" hidden="false" customHeight="true" outlineLevel="0" collapsed="false">
      <c r="A24" s="5" t="s">
        <v>512</v>
      </c>
      <c r="B24" s="5" t="s">
        <v>513</v>
      </c>
      <c r="C24" s="5" t="s">
        <v>514</v>
      </c>
      <c r="D24" s="5" t="s">
        <v>515</v>
      </c>
      <c r="E24" s="5" t="s">
        <v>516</v>
      </c>
    </row>
    <row r="25" customFormat="false" ht="55.5" hidden="false" customHeight="true" outlineLevel="0" collapsed="false">
      <c r="A25" s="10" t="s">
        <v>517</v>
      </c>
      <c r="B25" s="10" t="s">
        <v>518</v>
      </c>
      <c r="C25" s="10" t="s">
        <v>519</v>
      </c>
      <c r="D25" s="10" t="s">
        <v>520</v>
      </c>
      <c r="E25" s="10" t="s">
        <v>521</v>
      </c>
    </row>
    <row r="26" customFormat="false" ht="55.5" hidden="false" customHeight="true" outlineLevel="0" collapsed="false">
      <c r="A26" s="5" t="s">
        <v>522</v>
      </c>
      <c r="B26" s="5" t="s">
        <v>523</v>
      </c>
      <c r="C26" s="5" t="s">
        <v>524</v>
      </c>
      <c r="D26" s="5" t="s">
        <v>525</v>
      </c>
      <c r="E26" s="5" t="s">
        <v>526</v>
      </c>
    </row>
    <row r="27" customFormat="false" ht="55.5" hidden="false" customHeight="true" outlineLevel="0" collapsed="false">
      <c r="A27" s="10" t="s">
        <v>527</v>
      </c>
      <c r="B27" s="10" t="s">
        <v>528</v>
      </c>
      <c r="C27" s="10" t="s">
        <v>529</v>
      </c>
      <c r="D27" s="10" t="s">
        <v>530</v>
      </c>
      <c r="E27" s="10" t="s">
        <v>531</v>
      </c>
    </row>
    <row r="28" customFormat="false" ht="55.5" hidden="false" customHeight="true" outlineLevel="0" collapsed="false">
      <c r="A28" s="5" t="s">
        <v>532</v>
      </c>
      <c r="B28" s="5" t="s">
        <v>533</v>
      </c>
      <c r="C28" s="5" t="s">
        <v>534</v>
      </c>
      <c r="D28" s="5" t="s">
        <v>535</v>
      </c>
      <c r="E28" s="5" t="s">
        <v>536</v>
      </c>
    </row>
    <row r="29" customFormat="false" ht="55.5" hidden="false" customHeight="true" outlineLevel="0" collapsed="false">
      <c r="A29" s="10" t="s">
        <v>537</v>
      </c>
      <c r="B29" s="10" t="s">
        <v>538</v>
      </c>
      <c r="C29" s="10" t="s">
        <v>539</v>
      </c>
      <c r="D29" s="10" t="s">
        <v>540</v>
      </c>
      <c r="E29" s="10" t="s">
        <v>541</v>
      </c>
    </row>
    <row r="30" customFormat="false" ht="55.5" hidden="false" customHeight="true" outlineLevel="0" collapsed="false">
      <c r="A30" s="5" t="s">
        <v>542</v>
      </c>
      <c r="B30" s="5" t="s">
        <v>543</v>
      </c>
      <c r="C30" s="5" t="s">
        <v>544</v>
      </c>
      <c r="D30" s="5" t="s">
        <v>545</v>
      </c>
      <c r="E30" s="5" t="s">
        <v>546</v>
      </c>
    </row>
    <row r="31" customFormat="false" ht="55.5" hidden="false" customHeight="true" outlineLevel="0" collapsed="false">
      <c r="A31" s="10" t="s">
        <v>547</v>
      </c>
      <c r="B31" s="10" t="s">
        <v>548</v>
      </c>
      <c r="C31" s="10" t="s">
        <v>549</v>
      </c>
      <c r="D31" s="10" t="s">
        <v>550</v>
      </c>
      <c r="E31" s="10" t="s">
        <v>551</v>
      </c>
    </row>
    <row r="32" customFormat="false" ht="55.5" hidden="false" customHeight="true" outlineLevel="0" collapsed="false">
      <c r="A32" s="5" t="s">
        <v>552</v>
      </c>
      <c r="B32" s="5" t="s">
        <v>553</v>
      </c>
      <c r="C32" s="5" t="s">
        <v>554</v>
      </c>
      <c r="D32" s="5" t="s">
        <v>555</v>
      </c>
      <c r="E32" s="5" t="s">
        <v>556</v>
      </c>
    </row>
    <row r="33" customFormat="false" ht="55.5" hidden="false" customHeight="true" outlineLevel="0" collapsed="false">
      <c r="A33" s="10" t="s">
        <v>557</v>
      </c>
      <c r="B33" s="10" t="s">
        <v>558</v>
      </c>
      <c r="C33" s="10" t="s">
        <v>559</v>
      </c>
      <c r="D33" s="10" t="s">
        <v>560</v>
      </c>
      <c r="E33" s="10" t="s">
        <v>561</v>
      </c>
    </row>
    <row r="34" customFormat="false" ht="55.5" hidden="false" customHeight="true" outlineLevel="0" collapsed="false">
      <c r="A34" s="5" t="s">
        <v>562</v>
      </c>
      <c r="B34" s="5" t="s">
        <v>563</v>
      </c>
      <c r="C34" s="5" t="s">
        <v>564</v>
      </c>
      <c r="D34" s="5" t="s">
        <v>565</v>
      </c>
      <c r="E34" s="5" t="s">
        <v>566</v>
      </c>
    </row>
    <row r="35" customFormat="false" ht="55.5" hidden="false" customHeight="true" outlineLevel="0" collapsed="false">
      <c r="A35" s="10" t="s">
        <v>567</v>
      </c>
      <c r="B35" s="10" t="s">
        <v>568</v>
      </c>
      <c r="C35" s="10" t="s">
        <v>569</v>
      </c>
      <c r="D35" s="10" t="s">
        <v>570</v>
      </c>
      <c r="E35" s="10" t="s">
        <v>571</v>
      </c>
    </row>
    <row r="36" customFormat="false" ht="55.5" hidden="false" customHeight="true" outlineLevel="0" collapsed="false">
      <c r="A36" s="5" t="s">
        <v>572</v>
      </c>
      <c r="B36" s="5" t="s">
        <v>573</v>
      </c>
      <c r="C36" s="5" t="s">
        <v>574</v>
      </c>
      <c r="D36" s="5" t="s">
        <v>575</v>
      </c>
      <c r="E36" s="5" t="s">
        <v>576</v>
      </c>
    </row>
    <row r="37" customFormat="false" ht="55.5" hidden="false" customHeight="true" outlineLevel="0" collapsed="false">
      <c r="A37" s="10" t="s">
        <v>577</v>
      </c>
      <c r="B37" s="10" t="s">
        <v>578</v>
      </c>
      <c r="C37" s="10" t="s">
        <v>579</v>
      </c>
      <c r="D37" s="10" t="s">
        <v>580</v>
      </c>
      <c r="E37" s="10" t="s">
        <v>581</v>
      </c>
    </row>
    <row r="38" customFormat="false" ht="55.5" hidden="false" customHeight="true" outlineLevel="0" collapsed="false">
      <c r="A38" s="5" t="s">
        <v>582</v>
      </c>
      <c r="B38" s="5" t="s">
        <v>583</v>
      </c>
      <c r="C38" s="5" t="s">
        <v>584</v>
      </c>
      <c r="D38" s="5" t="s">
        <v>585</v>
      </c>
      <c r="E38" s="5" t="s">
        <v>586</v>
      </c>
    </row>
    <row r="39" customFormat="false" ht="15" hidden="false" customHeight="false" outlineLevel="0" collapsed="false">
      <c r="A39" s="16" t="s">
        <v>410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2026-07-30T02:16:48Z</dcterms:created>
  <dc:creator>openpyxl</dc:creator>
  <dc:description/>
  <dc:language>en-US</dc:language>
  <cp:lastModifiedBy/>
  <dcterms:modified xsi:type="dcterms:W3CDTF">2026-07-30T02:16:48Z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